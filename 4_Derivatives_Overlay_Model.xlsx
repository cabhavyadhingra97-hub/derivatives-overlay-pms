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Collar Sleeve (Puts)" sheetId="2" state="visible" r:id="rId2"/>
    <sheet xmlns:r="http://schemas.openxmlformats.org/officeDocument/2006/relationships" name="Covered Call Sleeve" sheetId="3" state="visible" r:id="rId3"/>
    <sheet xmlns:r="http://schemas.openxmlformats.org/officeDocument/2006/relationships" name="Program Cost Summary" sheetId="4" state="visible" r:id="rId4"/>
    <sheet xmlns:r="http://schemas.openxmlformats.org/officeDocument/2006/relationships" name="IV Percentile Tracker" sheetId="5" state="visible" r:id="rId5"/>
    <sheet xmlns:r="http://schemas.openxmlformats.org/officeDocument/2006/relationships" name="Scenario Analysis" sheetId="6" state="visible" r:id="rId6"/>
    <sheet xmlns:r="http://schemas.openxmlformats.org/officeDocument/2006/relationships" name="Swap &amp; Currency Overlay" sheetId="7" state="visible" r:id="rId7"/>
    <sheet xmlns:r="http://schemas.openxmlformats.org/officeDocument/2006/relationships" name="Risk Framewor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0.0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2514E"/>
      <sz val="10"/>
    </font>
    <font>
      <name val="Arial"/>
      <i val="1"/>
      <color rgb="00D03B3B"/>
      <sz val="9"/>
    </font>
    <font>
      <name val="Arial"/>
      <b val="1"/>
    </font>
    <font>
      <name val="Arial"/>
      <color rgb="000000FF"/>
    </font>
    <font>
      <name val="Arial"/>
      <i val="1"/>
      <color rgb="00898781"/>
      <sz val="8"/>
    </font>
    <font>
      <name val="Arial"/>
      <b val="1"/>
      <color rgb="00FFFFFF"/>
    </font>
    <font>
      <name val="Arial"/>
      <color rgb="0000000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5" fillId="2" borderId="1" pivotButton="0" quotePrefix="0" xfId="0"/>
    <xf numFmtId="0" fontId="5" fillId="2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4" fontId="4" fillId="0" borderId="0" pivotButton="0" quotePrefix="0" xfId="0"/>
    <xf numFmtId="2" fontId="4" fillId="0" borderId="0" pivotButton="0" quotePrefix="0" xfId="0"/>
    <xf numFmtId="164" fontId="0" fillId="0" borderId="1" pivotButton="0" quotePrefix="0" xfId="0"/>
    <xf numFmtId="0" fontId="8" fillId="0" borderId="0" pivotButton="0" quotePrefix="0" xfId="0"/>
    <xf numFmtId="2" fontId="0" fillId="0" borderId="0" pivotButton="0" quotePrefix="0" xfId="0"/>
    <xf numFmtId="10" fontId="0" fillId="0" borderId="1" pivotButton="0" quotePrefix="0" xfId="0"/>
    <xf numFmtId="0" fontId="9" fillId="0" borderId="0" pivotButton="0" quotePrefix="0" xfId="0"/>
    <xf numFmtId="164" fontId="5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</cols>
  <sheetData>
    <row r="2">
      <c r="B2" s="1" t="inlineStr">
        <is>
          <t>Derivatives Overlay Program — Ashoka Capital Advisors (Simulated PMS Mandate)</t>
        </is>
      </c>
    </row>
    <row r="3">
      <c r="B3" s="2" t="inlineStr">
        <is>
          <t>Quantitative model: options program, swap duration overlay, currency risk reversal, scenario stress test</t>
        </is>
      </c>
    </row>
    <row r="4">
      <c r="B4" s="3" t="inlineStr">
        <is>
          <t>Equity sleeve position data (spot, IV, IV percentile) sourced from QuantsApp Pro+ live/EOD option-chain and IVR-IVP tools. Debt/FX/friction assumptions remain illustrative. Not investment advice.</t>
        </is>
      </c>
    </row>
    <row r="6">
      <c r="B6" s="4" t="inlineStr">
        <is>
          <t>Key Assumption</t>
        </is>
      </c>
      <c r="C6" s="4" t="inlineStr">
        <is>
          <t>Value</t>
        </is>
      </c>
    </row>
    <row r="7">
      <c r="B7" t="inlineStr">
        <is>
          <t>Mandate AUM (Rs Cr)</t>
        </is>
      </c>
      <c r="C7" s="5" t="n">
        <v>78</v>
      </c>
    </row>
    <row r="8">
      <c r="B8" t="inlineStr">
        <is>
          <t>Equity sleeve (Rs Cr)</t>
        </is>
      </c>
      <c r="C8" s="5" t="n">
        <v>68</v>
      </c>
    </row>
    <row r="9">
      <c r="B9" t="inlineStr">
        <is>
          <t>Debt sleeve (Rs Cr)</t>
        </is>
      </c>
      <c r="C9" s="5" t="n">
        <v>7</v>
      </c>
    </row>
    <row r="10">
      <c r="B10" t="inlineStr">
        <is>
          <t>USD/LRS sleeve (Rs Cr)</t>
        </is>
      </c>
      <c r="C10" s="5" t="n">
        <v>3</v>
      </c>
    </row>
    <row r="11">
      <c r="B11" t="inlineStr">
        <is>
          <t>Number of clients</t>
        </is>
      </c>
      <c r="C11" s="5" t="n">
        <v>14</v>
      </c>
    </row>
    <row r="12">
      <c r="B12" t="inlineStr">
        <is>
          <t>Equity beta to Nifty 50</t>
        </is>
      </c>
      <c r="C12" s="5" t="n">
        <v>1.15</v>
      </c>
    </row>
    <row r="13">
      <c r="B13" t="inlineStr">
        <is>
          <t>Debt sleeve modified duration (yrs)</t>
        </is>
      </c>
      <c r="C13" s="5" t="n">
        <v>2.1</v>
      </c>
    </row>
    <row r="14">
      <c r="B14" t="inlineStr">
        <is>
          <t>Cost budget floor (bps p.a.)</t>
        </is>
      </c>
      <c r="C14" s="5" t="n">
        <v>40</v>
      </c>
    </row>
    <row r="15">
      <c r="B15" t="inlineStr">
        <is>
          <t>Cost budget ceiling (bps p.a.)</t>
        </is>
      </c>
      <c r="C15" s="5" t="n">
        <v>60</v>
      </c>
    </row>
    <row r="16">
      <c r="B16" t="inlineStr">
        <is>
          <t>Risk-free rate (annual)</t>
        </is>
      </c>
      <c r="C16" s="5" t="n">
        <v>0.068</v>
      </c>
    </row>
    <row r="17">
      <c r="B17" t="inlineStr">
        <is>
          <t>Blended dividend yield (annual)</t>
        </is>
      </c>
      <c r="C17" s="5" t="n">
        <v>0.012</v>
      </c>
    </row>
    <row r="18">
      <c r="B18" t="inlineStr">
        <is>
          <t>Collar tenor (days)</t>
        </is>
      </c>
      <c r="C18" s="5" t="n">
        <v>60</v>
      </c>
    </row>
    <row r="19">
      <c r="B19" t="inlineStr">
        <is>
          <t>Collar protection floor (% downside)</t>
        </is>
      </c>
      <c r="C19" s="5" t="n">
        <v>0.12</v>
      </c>
    </row>
    <row r="20">
      <c r="B20" t="inlineStr">
        <is>
          <t>Covered call tenor (days)</t>
        </is>
      </c>
      <c r="C20" s="5" t="n">
        <v>182</v>
      </c>
    </row>
    <row r="21">
      <c r="B21" t="inlineStr">
        <is>
          <t>Covered call OTM strike (%)</t>
        </is>
      </c>
      <c r="C21" s="5" t="n">
        <v>0.15</v>
      </c>
    </row>
    <row r="22">
      <c r="B22" t="inlineStr">
        <is>
          <t>STT on options, sell side (% of premium)</t>
        </is>
      </c>
      <c r="C22" s="5" t="n">
        <v>0.000625</v>
      </c>
    </row>
    <row r="23">
      <c r="B23" t="inlineStr">
        <is>
          <t>Slippage, single-stock options (bps of premium, mid)</t>
        </is>
      </c>
      <c r="C23" s="5" t="n">
        <v>60</v>
      </c>
    </row>
    <row r="24">
      <c r="B24" t="inlineStr">
        <is>
          <t>Slippage, index options (bps of premium, mid)</t>
        </is>
      </c>
      <c r="C24" s="5" t="n">
        <v>20</v>
      </c>
    </row>
    <row r="25">
      <c r="B25" t="inlineStr">
        <is>
          <t>Monthly rollover drag (bps, mid)</t>
        </is>
      </c>
      <c r="C25" s="5" t="n">
        <v>10</v>
      </c>
    </row>
    <row r="27">
      <c r="B27" s="6" t="inlineStr">
        <is>
          <t>Source: QuantsApp Pro+ (Option Chain, IVR/IVP-H tools), captured 17-Jul-2026 close. Debt/FX/friction figures remain illustrative -- verify against live CCIL/RBI data and current NSE F&amp;O circular before production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7" t="inlineStr">
        <is>
          <t>Ticker</t>
        </is>
      </c>
      <c r="B1" s="7" t="inlineStr">
        <is>
          <t>Name</t>
        </is>
      </c>
      <c r="C1" s="7" t="inlineStr">
        <is>
          <t>Weight % AUM</t>
        </is>
      </c>
      <c r="D1" s="7" t="inlineStr">
        <is>
          <t>Spot</t>
        </is>
      </c>
      <c r="E1" s="7" t="inlineStr">
        <is>
          <t>IV (annual)</t>
        </is>
      </c>
      <c r="F1" s="7" t="inlineStr">
        <is>
          <t>Tenor (days)</t>
        </is>
      </c>
      <c r="G1" s="7" t="inlineStr">
        <is>
          <t>T (yrs)</t>
        </is>
      </c>
      <c r="H1" s="7" t="inlineStr">
        <is>
          <t>Put Strike*</t>
        </is>
      </c>
      <c r="I1" s="7" t="inlineStr">
        <is>
          <t>Call Strike*</t>
        </is>
      </c>
      <c r="J1" s="7" t="inlineStr">
        <is>
          <t>d1 (put)</t>
        </is>
      </c>
      <c r="K1" s="7" t="inlineStr">
        <is>
          <t>d2 (put)</t>
        </is>
      </c>
      <c r="L1" s="7" t="inlineStr">
        <is>
          <t>Put Premium</t>
        </is>
      </c>
      <c r="M1" s="7" t="inlineStr">
        <is>
          <t>d1 (call)</t>
        </is>
      </c>
      <c r="N1" s="7" t="inlineStr">
        <is>
          <t>d2 (call)</t>
        </is>
      </c>
      <c r="O1" s="7" t="inlineStr">
        <is>
          <t>Call Premium</t>
        </is>
      </c>
      <c r="P1" s="7" t="inlineStr">
        <is>
          <t>Net Premium (Rs)</t>
        </is>
      </c>
      <c r="Q1" s="7" t="inlineStr">
        <is>
          <t>Net Premium (% spot)</t>
        </is>
      </c>
      <c r="R1" s="7" t="inlineStr">
        <is>
          <t>Put Delta</t>
        </is>
      </c>
      <c r="S1" s="7" t="inlineStr">
        <is>
          <t>Call Delta</t>
        </is>
      </c>
      <c r="T1" s="7" t="inlineStr">
        <is>
          <t>Net Delta</t>
        </is>
      </c>
      <c r="U1" s="7" t="inlineStr">
        <is>
          <t>Notional (Rs Cr)</t>
        </is>
      </c>
      <c r="V1" s="7" t="inlineStr">
        <is>
          <t>Annual Cost (bps of AUM)</t>
        </is>
      </c>
    </row>
    <row r="2">
      <c r="A2" s="8" t="inlineStr">
        <is>
          <t>SRF</t>
        </is>
      </c>
      <c r="B2" s="8" t="inlineStr">
        <is>
          <t>SRF Ltd - Specialty Chemicals (promoter-driven)</t>
        </is>
      </c>
      <c r="C2" s="9" t="n">
        <v>0.11</v>
      </c>
      <c r="D2" s="10" t="n">
        <v>2869.8</v>
      </c>
      <c r="E2" s="9" t="n">
        <v>0.3344</v>
      </c>
      <c r="F2" s="8">
        <f>'Cover &amp; Assumptions'!$C$18</f>
        <v/>
      </c>
      <c r="G2" s="8">
        <f>F2/365</f>
        <v/>
      </c>
      <c r="H2" s="10" t="n">
        <v>2525.4</v>
      </c>
      <c r="I2" s="10" t="n">
        <v>3354.9</v>
      </c>
      <c r="J2" s="8">
        <f>(LN(D2/H2)+('Cover &amp; Assumptions'!$C$16-'Cover &amp; Assumptions'!$C$17+0.5*E2^2)*G2)/(E2*SQRT(G2))</f>
        <v/>
      </c>
      <c r="K2" s="8">
        <f>J2-E2*SQRT(G2)</f>
        <v/>
      </c>
      <c r="L2" s="8">
        <f>H2*EXP(-'Cover &amp; Assumptions'!$C$16*G2)*NORMSDIST(-K2)-D2*EXP(-'Cover &amp; Assumptions'!$C$17*G2)*NORMSDIST(-J2)</f>
        <v/>
      </c>
      <c r="M2" s="8">
        <f>(LN(D2/I2)+('Cover &amp; Assumptions'!$C$16-'Cover &amp; Assumptions'!$C$17+0.5*E2^2)*G2)/(E2*SQRT(G2))</f>
        <v/>
      </c>
      <c r="N2" s="8">
        <f>M2-E2*SQRT(G2)</f>
        <v/>
      </c>
      <c r="O2" s="8">
        <f>D2*EXP(-'Cover &amp; Assumptions'!$C$17*G2)*NORMSDIST(M2)-I2*EXP(-'Cover &amp; Assumptions'!$C$16*G2)*NORMSDIST(N2)</f>
        <v/>
      </c>
      <c r="P2" s="8">
        <f>O2-L2</f>
        <v/>
      </c>
      <c r="Q2" s="11">
        <f>P2/D2</f>
        <v/>
      </c>
      <c r="R2" s="8">
        <f>-EXP(-'Cover &amp; Assumptions'!$C$17*G2)*NORMSDIST(-J2)</f>
        <v/>
      </c>
      <c r="S2" s="8">
        <f>EXP(-'Cover &amp; Assumptions'!$C$17*G2)*NORMSDIST(M2)</f>
        <v/>
      </c>
      <c r="T2" s="8">
        <f>R2-S2</f>
        <v/>
      </c>
      <c r="U2" s="12">
        <f>'Cover &amp; Assumptions'!$C$7*C2</f>
        <v/>
      </c>
      <c r="V2" s="13">
        <f>(-P2/D2+((L2+O2)/D2)*('Cover &amp; Assumptions'!$C$23/10000)+(O2/D2)*'Cover &amp; Assumptions'!$C$22+'Cover &amp; Assumptions'!$C$25/10000)*(365/'Cover &amp; Assumptions'!$C$18)*C2*10000</f>
        <v/>
      </c>
    </row>
    <row r="3">
      <c r="A3" s="8" t="inlineStr">
        <is>
          <t>BHARATFORG</t>
        </is>
      </c>
      <c r="B3" s="8" t="inlineStr">
        <is>
          <t>Bharat Forge - Promoter Industrial (Kalyani family)</t>
        </is>
      </c>
      <c r="C3" s="9" t="n">
        <v>0.095</v>
      </c>
      <c r="D3" s="10" t="n">
        <v>2197.5</v>
      </c>
      <c r="E3" s="9" t="n">
        <v>0.2898</v>
      </c>
      <c r="F3" s="8">
        <f>'Cover &amp; Assumptions'!$C$18</f>
        <v/>
      </c>
      <c r="G3" s="8">
        <f>F3/365</f>
        <v/>
      </c>
      <c r="H3" s="10" t="n">
        <v>1933.8</v>
      </c>
      <c r="I3" s="10" t="n">
        <v>2564.2</v>
      </c>
      <c r="J3" s="8">
        <f>(LN(D3/H3)+('Cover &amp; Assumptions'!$C$16-'Cover &amp; Assumptions'!$C$17+0.5*E3^2)*G3)/(E3*SQRT(G3))</f>
        <v/>
      </c>
      <c r="K3" s="8">
        <f>J3-E3*SQRT(G3)</f>
        <v/>
      </c>
      <c r="L3" s="8">
        <f>H3*EXP(-'Cover &amp; Assumptions'!$C$16*G3)*NORMSDIST(-K3)-D3*EXP(-'Cover &amp; Assumptions'!$C$17*G3)*NORMSDIST(-J3)</f>
        <v/>
      </c>
      <c r="M3" s="8">
        <f>(LN(D3/I3)+('Cover &amp; Assumptions'!$C$16-'Cover &amp; Assumptions'!$C$17+0.5*E3^2)*G3)/(E3*SQRT(G3))</f>
        <v/>
      </c>
      <c r="N3" s="8">
        <f>M3-E3*SQRT(G3)</f>
        <v/>
      </c>
      <c r="O3" s="8">
        <f>D3*EXP(-'Cover &amp; Assumptions'!$C$17*G3)*NORMSDIST(M3)-I3*EXP(-'Cover &amp; Assumptions'!$C$16*G3)*NORMSDIST(N3)</f>
        <v/>
      </c>
      <c r="P3" s="8">
        <f>O3-L3</f>
        <v/>
      </c>
      <c r="Q3" s="11">
        <f>P3/D3</f>
        <v/>
      </c>
      <c r="R3" s="8">
        <f>-EXP(-'Cover &amp; Assumptions'!$C$17*G3)*NORMSDIST(-J3)</f>
        <v/>
      </c>
      <c r="S3" s="8">
        <f>EXP(-'Cover &amp; Assumptions'!$C$17*G3)*NORMSDIST(M3)</f>
        <v/>
      </c>
      <c r="T3" s="8">
        <f>R3-S3</f>
        <v/>
      </c>
      <c r="U3" s="12">
        <f>'Cover &amp; Assumptions'!$C$7*C3</f>
        <v/>
      </c>
      <c r="V3" s="13">
        <f>(-P3/D3+((L3+O3)/D3)*('Cover &amp; Assumptions'!$C$23/10000)+(O3/D3)*'Cover &amp; Assumptions'!$C$22+'Cover &amp; Assumptions'!$C$25/10000)*(365/'Cover &amp; Assumptions'!$C$18)*C3*10000</f>
        <v/>
      </c>
    </row>
    <row r="4">
      <c r="A4" s="8" t="inlineStr">
        <is>
          <t>KALYANKJIL</t>
        </is>
      </c>
      <c r="B4" s="8" t="inlineStr">
        <is>
          <t>Kalyan Jewellers - Promoter Consumer/Retail</t>
        </is>
      </c>
      <c r="C4" s="9" t="n">
        <v>0.09</v>
      </c>
      <c r="D4" s="10" t="n">
        <v>573.75</v>
      </c>
      <c r="E4" s="9" t="n">
        <v>0.5823</v>
      </c>
      <c r="F4" s="8">
        <f>'Cover &amp; Assumptions'!$C$18</f>
        <v/>
      </c>
      <c r="G4" s="8">
        <f>F4/365</f>
        <v/>
      </c>
      <c r="H4" s="10" t="n">
        <v>504.9</v>
      </c>
      <c r="I4" s="10" t="n">
        <v>678.3</v>
      </c>
      <c r="J4" s="8">
        <f>(LN(D4/H4)+('Cover &amp; Assumptions'!$C$16-'Cover &amp; Assumptions'!$C$17+0.5*E4^2)*G4)/(E4*SQRT(G4))</f>
        <v/>
      </c>
      <c r="K4" s="8">
        <f>J4-E4*SQRT(G4)</f>
        <v/>
      </c>
      <c r="L4" s="8">
        <f>H4*EXP(-'Cover &amp; Assumptions'!$C$16*G4)*NORMSDIST(-K4)-D4*EXP(-'Cover &amp; Assumptions'!$C$17*G4)*NORMSDIST(-J4)</f>
        <v/>
      </c>
      <c r="M4" s="8">
        <f>(LN(D4/I4)+('Cover &amp; Assumptions'!$C$16-'Cover &amp; Assumptions'!$C$17+0.5*E4^2)*G4)/(E4*SQRT(G4))</f>
        <v/>
      </c>
      <c r="N4" s="8">
        <f>M4-E4*SQRT(G4)</f>
        <v/>
      </c>
      <c r="O4" s="8">
        <f>D4*EXP(-'Cover &amp; Assumptions'!$C$17*G4)*NORMSDIST(M4)-I4*EXP(-'Cover &amp; Assumptions'!$C$16*G4)*NORMSDIST(N4)</f>
        <v/>
      </c>
      <c r="P4" s="8">
        <f>O4-L4</f>
        <v/>
      </c>
      <c r="Q4" s="11">
        <f>P4/D4</f>
        <v/>
      </c>
      <c r="R4" s="8">
        <f>-EXP(-'Cover &amp; Assumptions'!$C$17*G4)*NORMSDIST(-J4)</f>
        <v/>
      </c>
      <c r="S4" s="8">
        <f>EXP(-'Cover &amp; Assumptions'!$C$17*G4)*NORMSDIST(M4)</f>
        <v/>
      </c>
      <c r="T4" s="8">
        <f>R4-S4</f>
        <v/>
      </c>
      <c r="U4" s="12">
        <f>'Cover &amp; Assumptions'!$C$7*C4</f>
        <v/>
      </c>
      <c r="V4" s="13">
        <f>(-P4/D4+((L4+O4)/D4)*('Cover &amp; Assumptions'!$C$23/10000)+(O4/D4)*'Cover &amp; Assumptions'!$C$22+'Cover &amp; Assumptions'!$C$25/10000)*(365/'Cover &amp; Assumptions'!$C$18)*C4*10000</f>
        <v/>
      </c>
    </row>
    <row r="5">
      <c r="A5" s="8" t="inlineStr">
        <is>
          <t>POLYCAB</t>
        </is>
      </c>
      <c r="B5" s="8" t="inlineStr">
        <is>
          <t>Polycab India - Promoter Electricals (Jaisinghani family)</t>
        </is>
      </c>
      <c r="C5" s="9" t="n">
        <v>0.08500000000000001</v>
      </c>
      <c r="D5" s="10" t="n">
        <v>8862.5</v>
      </c>
      <c r="E5" s="9" t="n">
        <v>0.2802</v>
      </c>
      <c r="F5" s="8">
        <f>'Cover &amp; Assumptions'!$C$18</f>
        <v/>
      </c>
      <c r="G5" s="8">
        <f>F5/365</f>
        <v/>
      </c>
      <c r="H5" s="10" t="n">
        <v>7799</v>
      </c>
      <c r="I5" s="10" t="n">
        <v>10337.3</v>
      </c>
      <c r="J5" s="8">
        <f>(LN(D5/H5)+('Cover &amp; Assumptions'!$C$16-'Cover &amp; Assumptions'!$C$17+0.5*E5^2)*G5)/(E5*SQRT(G5))</f>
        <v/>
      </c>
      <c r="K5" s="8">
        <f>J5-E5*SQRT(G5)</f>
        <v/>
      </c>
      <c r="L5" s="8">
        <f>H5*EXP(-'Cover &amp; Assumptions'!$C$16*G5)*NORMSDIST(-K5)-D5*EXP(-'Cover &amp; Assumptions'!$C$17*G5)*NORMSDIST(-J5)</f>
        <v/>
      </c>
      <c r="M5" s="8">
        <f>(LN(D5/I5)+('Cover &amp; Assumptions'!$C$16-'Cover &amp; Assumptions'!$C$17+0.5*E5^2)*G5)/(E5*SQRT(G5))</f>
        <v/>
      </c>
      <c r="N5" s="8">
        <f>M5-E5*SQRT(G5)</f>
        <v/>
      </c>
      <c r="O5" s="8">
        <f>D5*EXP(-'Cover &amp; Assumptions'!$C$17*G5)*NORMSDIST(M5)-I5*EXP(-'Cover &amp; Assumptions'!$C$16*G5)*NORMSDIST(N5)</f>
        <v/>
      </c>
      <c r="P5" s="8">
        <f>O5-L5</f>
        <v/>
      </c>
      <c r="Q5" s="11">
        <f>P5/D5</f>
        <v/>
      </c>
      <c r="R5" s="8">
        <f>-EXP(-'Cover &amp; Assumptions'!$C$17*G5)*NORMSDIST(-J5)</f>
        <v/>
      </c>
      <c r="S5" s="8">
        <f>EXP(-'Cover &amp; Assumptions'!$C$17*G5)*NORMSDIST(M5)</f>
        <v/>
      </c>
      <c r="T5" s="8">
        <f>R5-S5</f>
        <v/>
      </c>
      <c r="U5" s="12">
        <f>'Cover &amp; Assumptions'!$C$7*C5</f>
        <v/>
      </c>
      <c r="V5" s="13">
        <f>(-P5/D5+((L5+O5)/D5)*('Cover &amp; Assumptions'!$C$23/10000)+(O5/D5)*'Cover &amp; Assumptions'!$C$22+'Cover &amp; Assumptions'!$C$25/10000)*(365/'Cover &amp; Assumptions'!$C$18)*C5*10000</f>
        <v/>
      </c>
    </row>
    <row r="7">
      <c r="B7" s="4" t="inlineStr">
        <is>
          <t>TOTAL / Weighted</t>
        </is>
      </c>
      <c r="C7" s="14">
        <f>SUM(C2:C5)</f>
        <v/>
      </c>
      <c r="U7" s="15">
        <f>SUM(U2:U5)</f>
        <v/>
      </c>
      <c r="V7" s="15">
        <f>SUM(V2:V5)</f>
        <v/>
      </c>
    </row>
    <row r="9">
      <c r="B9" s="6" t="inlineStr">
        <is>
          <t>* Put/Call strikes solved externally via scipy.optimize (Black-Scholes zero-cost / min-premium root-find, min 12% protection floor) — see src/bs_engine.py::solve_min_premium_collar(). Spot/IV inputs sourced from QuantsApp Pro+ Option Chain. Re-run src/overlay_model.py and paste updated strikes here if spot/IV inputs change.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7" t="inlineStr">
        <is>
          <t>Ticker</t>
        </is>
      </c>
      <c r="B1" s="7" t="inlineStr">
        <is>
          <t>Name</t>
        </is>
      </c>
      <c r="C1" s="7" t="inlineStr">
        <is>
          <t>Weight % AUM</t>
        </is>
      </c>
      <c r="D1" s="7" t="inlineStr">
        <is>
          <t>Spot</t>
        </is>
      </c>
      <c r="E1" s="7" t="inlineStr">
        <is>
          <t>IV (annual)</t>
        </is>
      </c>
      <c r="F1" s="7" t="inlineStr">
        <is>
          <t>Tenor (days)</t>
        </is>
      </c>
      <c r="G1" s="7" t="inlineStr">
        <is>
          <t>T (yrs)</t>
        </is>
      </c>
      <c r="H1" s="7" t="inlineStr">
        <is>
          <t>OTM %*</t>
        </is>
      </c>
      <c r="I1" s="7" t="inlineStr">
        <is>
          <t>Call Strike</t>
        </is>
      </c>
      <c r="J1" s="7" t="inlineStr">
        <is>
          <t>d1</t>
        </is>
      </c>
      <c r="K1" s="7" t="inlineStr">
        <is>
          <t>d2</t>
        </is>
      </c>
      <c r="L1" s="7" t="inlineStr">
        <is>
          <t>Call Premium</t>
        </is>
      </c>
      <c r="M1" s="7" t="inlineStr">
        <is>
          <t>Premium % Spot</t>
        </is>
      </c>
      <c r="N1" s="7" t="inlineStr">
        <is>
          <t>Call Delta</t>
        </is>
      </c>
      <c r="O1" s="7" t="inlineStr">
        <is>
          <t>Annual Income (bps of AUM)</t>
        </is>
      </c>
    </row>
    <row r="2">
      <c r="A2" s="8" t="inlineStr">
        <is>
          <t>HDFCBANK</t>
        </is>
      </c>
      <c r="B2" s="8" t="inlineStr">
        <is>
          <t>HDFC Bank - Large Private Bank</t>
        </is>
      </c>
      <c r="C2" s="9" t="n">
        <v>0.06</v>
      </c>
      <c r="D2" s="10" t="n">
        <v>819.9</v>
      </c>
      <c r="E2" s="9" t="n">
        <v>0.245</v>
      </c>
      <c r="F2" s="8">
        <f>'Cover &amp; Assumptions'!$C$20</f>
        <v/>
      </c>
      <c r="G2" s="8">
        <f>F2/365</f>
        <v/>
      </c>
      <c r="H2" s="16">
        <f>'Cover &amp; Assumptions'!$C$21</f>
        <v/>
      </c>
      <c r="I2" s="8">
        <f>D2*(1+H2)</f>
        <v/>
      </c>
      <c r="J2" s="8">
        <f>(LN(D2/I2)+('Cover &amp; Assumptions'!$C$16-'Cover &amp; Assumptions'!$C$17+0.5*E2^2)*G2)/(E2*SQRT(G2))</f>
        <v/>
      </c>
      <c r="K2" s="8">
        <f>J2-E2*SQRT(G2)</f>
        <v/>
      </c>
      <c r="L2" s="8">
        <f>D2*EXP(-'Cover &amp; Assumptions'!$C$17*G2)*NORMSDIST(J2)-I2*EXP(-'Cover &amp; Assumptions'!$C$16*G2)*NORMSDIST(K2)</f>
        <v/>
      </c>
      <c r="M2" s="11">
        <f>L2/D2</f>
        <v/>
      </c>
      <c r="N2" s="8">
        <f>EXP(-'Cover &amp; Assumptions'!$C$17*G2)*NORMSDIST(J2)</f>
        <v/>
      </c>
      <c r="O2" s="13">
        <f>(L2/D2)*(1-'Cover &amp; Assumptions'!$C$24/10000-'Cover &amp; Assumptions'!$C$22)*(365/'Cover &amp; Assumptions'!$C$20)*C2*10000</f>
        <v/>
      </c>
    </row>
    <row r="3">
      <c r="A3" s="8" t="inlineStr">
        <is>
          <t>ICICIBANK</t>
        </is>
      </c>
      <c r="B3" s="8" t="inlineStr">
        <is>
          <t>ICICI Bank - Large Private Bank</t>
        </is>
      </c>
      <c r="C3" s="9" t="n">
        <v>0.055</v>
      </c>
      <c r="D3" s="10" t="n">
        <v>1449.1</v>
      </c>
      <c r="E3" s="9" t="n">
        <v>0.2549</v>
      </c>
      <c r="F3" s="8">
        <f>'Cover &amp; Assumptions'!$C$20</f>
        <v/>
      </c>
      <c r="G3" s="8">
        <f>F3/365</f>
        <v/>
      </c>
      <c r="H3" s="16">
        <f>'Cover &amp; Assumptions'!$C$21</f>
        <v/>
      </c>
      <c r="I3" s="8">
        <f>D3*(1+H3)</f>
        <v/>
      </c>
      <c r="J3" s="8">
        <f>(LN(D3/I3)+('Cover &amp; Assumptions'!$C$16-'Cover &amp; Assumptions'!$C$17+0.5*E3^2)*G3)/(E3*SQRT(G3))</f>
        <v/>
      </c>
      <c r="K3" s="8">
        <f>J3-E3*SQRT(G3)</f>
        <v/>
      </c>
      <c r="L3" s="8">
        <f>D3*EXP(-'Cover &amp; Assumptions'!$C$17*G3)*NORMSDIST(J3)-I3*EXP(-'Cover &amp; Assumptions'!$C$16*G3)*NORMSDIST(K3)</f>
        <v/>
      </c>
      <c r="M3" s="11">
        <f>L3/D3</f>
        <v/>
      </c>
      <c r="N3" s="8">
        <f>EXP(-'Cover &amp; Assumptions'!$C$17*G3)*NORMSDIST(J3)</f>
        <v/>
      </c>
      <c r="O3" s="13">
        <f>(L3/D3)*(1-'Cover &amp; Assumptions'!$C$24/10000-'Cover &amp; Assumptions'!$C$22)*(365/'Cover &amp; Assumptions'!$C$20)*C3*10000</f>
        <v/>
      </c>
    </row>
    <row r="4">
      <c r="A4" s="8" t="inlineStr">
        <is>
          <t>INFY</t>
        </is>
      </c>
      <c r="B4" s="8" t="inlineStr">
        <is>
          <t>Infosys - Large IT</t>
        </is>
      </c>
      <c r="C4" s="9" t="n">
        <v>0.05</v>
      </c>
      <c r="D4" s="10" t="n">
        <v>1090</v>
      </c>
      <c r="E4" s="9" t="n">
        <v>0.3372</v>
      </c>
      <c r="F4" s="8">
        <f>'Cover &amp; Assumptions'!$C$20</f>
        <v/>
      </c>
      <c r="G4" s="8">
        <f>F4/365</f>
        <v/>
      </c>
      <c r="H4" s="16">
        <f>'Cover &amp; Assumptions'!$C$21</f>
        <v/>
      </c>
      <c r="I4" s="8">
        <f>D4*(1+H4)</f>
        <v/>
      </c>
      <c r="J4" s="8">
        <f>(LN(D4/I4)+('Cover &amp; Assumptions'!$C$16-'Cover &amp; Assumptions'!$C$17+0.5*E4^2)*G4)/(E4*SQRT(G4))</f>
        <v/>
      </c>
      <c r="K4" s="8">
        <f>J4-E4*SQRT(G4)</f>
        <v/>
      </c>
      <c r="L4" s="8">
        <f>D4*EXP(-'Cover &amp; Assumptions'!$C$17*G4)*NORMSDIST(J4)-I4*EXP(-'Cover &amp; Assumptions'!$C$16*G4)*NORMSDIST(K4)</f>
        <v/>
      </c>
      <c r="M4" s="11">
        <f>L4/D4</f>
        <v/>
      </c>
      <c r="N4" s="8">
        <f>EXP(-'Cover &amp; Assumptions'!$C$17*G4)*NORMSDIST(J4)</f>
        <v/>
      </c>
      <c r="O4" s="13">
        <f>(L4/D4)*(1-'Cover &amp; Assumptions'!$C$24/10000-'Cover &amp; Assumptions'!$C$22)*(365/'Cover &amp; Assumptions'!$C$20)*C4*10000</f>
        <v/>
      </c>
    </row>
    <row r="5">
      <c r="A5" s="8" t="inlineStr">
        <is>
          <t>LT</t>
        </is>
      </c>
      <c r="B5" s="8" t="inlineStr">
        <is>
          <t>L&amp;T - Large Cap Engineering</t>
        </is>
      </c>
      <c r="C5" s="9" t="n">
        <v>0.045</v>
      </c>
      <c r="D5" s="10" t="n">
        <v>3843.6</v>
      </c>
      <c r="E5" s="9" t="n">
        <v>0.2433</v>
      </c>
      <c r="F5" s="8">
        <f>'Cover &amp; Assumptions'!$C$20</f>
        <v/>
      </c>
      <c r="G5" s="8">
        <f>F5/365</f>
        <v/>
      </c>
      <c r="H5" s="16">
        <f>'Cover &amp; Assumptions'!$C$21</f>
        <v/>
      </c>
      <c r="I5" s="8">
        <f>D5*(1+H5)</f>
        <v/>
      </c>
      <c r="J5" s="8">
        <f>(LN(D5/I5)+('Cover &amp; Assumptions'!$C$16-'Cover &amp; Assumptions'!$C$17+0.5*E5^2)*G5)/(E5*SQRT(G5))</f>
        <v/>
      </c>
      <c r="K5" s="8">
        <f>J5-E5*SQRT(G5)</f>
        <v/>
      </c>
      <c r="L5" s="8">
        <f>D5*EXP(-'Cover &amp; Assumptions'!$C$17*G5)*NORMSDIST(J5)-I5*EXP(-'Cover &amp; Assumptions'!$C$16*G5)*NORMSDIST(K5)</f>
        <v/>
      </c>
      <c r="M5" s="11">
        <f>L5/D5</f>
        <v/>
      </c>
      <c r="N5" s="8">
        <f>EXP(-'Cover &amp; Assumptions'!$C$17*G5)*NORMSDIST(J5)</f>
        <v/>
      </c>
      <c r="O5" s="13">
        <f>(L5/D5)*(1-'Cover &amp; Assumptions'!$C$24/10000-'Cover &amp; Assumptions'!$C$22)*(365/'Cover &amp; Assumptions'!$C$20)*C5*10000</f>
        <v/>
      </c>
    </row>
    <row r="6">
      <c r="A6" s="8" t="inlineStr">
        <is>
          <t>HINDUNILVR</t>
        </is>
      </c>
      <c r="B6" s="8" t="inlineStr">
        <is>
          <t>HUL - Large Cap FMCG</t>
        </is>
      </c>
      <c r="C6" s="9" t="n">
        <v>0.04</v>
      </c>
      <c r="D6" s="10" t="n">
        <v>2150.2</v>
      </c>
      <c r="E6" s="9" t="n">
        <v>0.2207</v>
      </c>
      <c r="F6" s="8">
        <f>'Cover &amp; Assumptions'!$C$20</f>
        <v/>
      </c>
      <c r="G6" s="8">
        <f>F6/365</f>
        <v/>
      </c>
      <c r="H6" s="16">
        <f>'Cover &amp; Assumptions'!$C$21</f>
        <v/>
      </c>
      <c r="I6" s="8">
        <f>D6*(1+H6)</f>
        <v/>
      </c>
      <c r="J6" s="8">
        <f>(LN(D6/I6)+('Cover &amp; Assumptions'!$C$16-'Cover &amp; Assumptions'!$C$17+0.5*E6^2)*G6)/(E6*SQRT(G6))</f>
        <v/>
      </c>
      <c r="K6" s="8">
        <f>J6-E6*SQRT(G6)</f>
        <v/>
      </c>
      <c r="L6" s="8">
        <f>D6*EXP(-'Cover &amp; Assumptions'!$C$17*G6)*NORMSDIST(J6)-I6*EXP(-'Cover &amp; Assumptions'!$C$16*G6)*NORMSDIST(K6)</f>
        <v/>
      </c>
      <c r="M6" s="11">
        <f>L6/D6</f>
        <v/>
      </c>
      <c r="N6" s="8">
        <f>EXP(-'Cover &amp; Assumptions'!$C$17*G6)*NORMSDIST(J6)</f>
        <v/>
      </c>
      <c r="O6" s="13">
        <f>(L6/D6)*(1-'Cover &amp; Assumptions'!$C$24/10000-'Cover &amp; Assumptions'!$C$22)*(365/'Cover &amp; Assumptions'!$C$20)*C6*10000</f>
        <v/>
      </c>
    </row>
    <row r="7">
      <c r="A7" s="8" t="inlineStr">
        <is>
          <t>TITAN</t>
        </is>
      </c>
      <c r="B7" s="8" t="inlineStr">
        <is>
          <t>Titan - Large Cap Consumer</t>
        </is>
      </c>
      <c r="C7" s="9" t="n">
        <v>0.04</v>
      </c>
      <c r="D7" s="10" t="n">
        <v>4636.3</v>
      </c>
      <c r="E7" s="9" t="n">
        <v>0.1998</v>
      </c>
      <c r="F7" s="8">
        <f>'Cover &amp; Assumptions'!$C$20</f>
        <v/>
      </c>
      <c r="G7" s="8">
        <f>F7/365</f>
        <v/>
      </c>
      <c r="H7" s="16">
        <f>'Cover &amp; Assumptions'!$C$21</f>
        <v/>
      </c>
      <c r="I7" s="8">
        <f>D7*(1+H7)</f>
        <v/>
      </c>
      <c r="J7" s="8">
        <f>(LN(D7/I7)+('Cover &amp; Assumptions'!$C$16-'Cover &amp; Assumptions'!$C$17+0.5*E7^2)*G7)/(E7*SQRT(G7))</f>
        <v/>
      </c>
      <c r="K7" s="8">
        <f>J7-E7*SQRT(G7)</f>
        <v/>
      </c>
      <c r="L7" s="8">
        <f>D7*EXP(-'Cover &amp; Assumptions'!$C$17*G7)*NORMSDIST(J7)-I7*EXP(-'Cover &amp; Assumptions'!$C$16*G7)*NORMSDIST(K7)</f>
        <v/>
      </c>
      <c r="M7" s="11">
        <f>L7/D7</f>
        <v/>
      </c>
      <c r="N7" s="8">
        <f>EXP(-'Cover &amp; Assumptions'!$C$17*G7)*NORMSDIST(J7)</f>
        <v/>
      </c>
      <c r="O7" s="13">
        <f>(L7/D7)*(1-'Cover &amp; Assumptions'!$C$24/10000-'Cover &amp; Assumptions'!$C$22)*(365/'Cover &amp; Assumptions'!$C$20)*C7*10000</f>
        <v/>
      </c>
    </row>
    <row r="9">
      <c r="B9" s="4" t="inlineStr">
        <is>
          <t>TOTAL</t>
        </is>
      </c>
      <c r="C9" s="14">
        <f>SUM(C2:C7)</f>
        <v/>
      </c>
      <c r="O9" s="15">
        <f>SUM(O2:O7)</f>
        <v/>
      </c>
    </row>
    <row r="11">
      <c r="B11" s="6" t="inlineStr">
        <is>
          <t>* OTM% and tenor deliberately wide/infrequent (15% OTM, semi-annual) vs a tighter monthly-6%-OTM design, to satisfy the client objective of 'modest yield without capping upside materially' — see report Methodology section 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0" customWidth="1" min="3" max="3"/>
  </cols>
  <sheetData>
    <row r="2">
      <c r="B2" s="1" t="inlineStr">
        <is>
          <t>Overlay Program — Net Cost / Income Summary (bps of Total AUM, annualised)</t>
        </is>
      </c>
    </row>
    <row r="4">
      <c r="B4" s="17" t="inlineStr">
        <is>
          <t>Gross protective put/collar cost</t>
        </is>
      </c>
      <c r="C4" s="18">
        <f>'Collar Sleeve (Puts)'!$V$7</f>
        <v/>
      </c>
    </row>
    <row r="5">
      <c r="B5" s="17" t="inlineStr">
        <is>
          <t>Gross covered call income</t>
        </is>
      </c>
      <c r="C5" s="18">
        <f>'Covered Call Sleeve'!$O$9</f>
        <v/>
      </c>
    </row>
    <row r="6">
      <c r="B6" s="4" t="inlineStr">
        <is>
          <t>Net program cost / (credit)</t>
        </is>
      </c>
      <c r="C6" s="18">
        <f>C4-C5</f>
        <v/>
      </c>
    </row>
    <row r="7">
      <c r="B7" s="17" t="inlineStr">
        <is>
          <t>Cost budget floor (bps)</t>
        </is>
      </c>
      <c r="C7">
        <f>'Cover &amp; Assumptions'!$C$14</f>
        <v/>
      </c>
    </row>
    <row r="8">
      <c r="B8" s="17" t="inlineStr">
        <is>
          <t>Cost budget ceiling (bps)</t>
        </is>
      </c>
      <c r="C8" s="18">
        <f>'Cover &amp; Assumptions'!$C$15</f>
        <v/>
      </c>
    </row>
    <row r="9">
      <c r="B9" s="17" t="inlineStr">
        <is>
          <t>Budget headroom (ceiling - gross put/collar cost)</t>
        </is>
      </c>
      <c r="C9" s="18">
        <f>C8-C4</f>
        <v/>
      </c>
    </row>
    <row r="10">
      <c r="B10" s="17" t="inlineStr">
        <is>
          <t>Within budget?</t>
        </is>
      </c>
      <c r="C10">
        <f>IF(C4&lt;=C8,"YES - within budget","NO - exceeds budget")</f>
        <v/>
      </c>
    </row>
  </sheetData>
  <conditionalFormatting sqref="C10">
    <cfRule type="cellIs" priority="1" operator="equal" dxfId="0">
      <formula>"NO - exceeds budget"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6" customWidth="1" min="5" max="5"/>
    <col width="24" customWidth="1" min="6" max="6"/>
  </cols>
  <sheetData>
    <row r="1">
      <c r="A1" s="7" t="inlineStr">
        <is>
          <t>Ticker</t>
        </is>
      </c>
      <c r="B1" s="7" t="inlineStr">
        <is>
          <t>Current IV</t>
        </is>
      </c>
      <c r="C1" s="7" t="inlineStr">
        <is>
          <t>90D IV Low</t>
        </is>
      </c>
      <c r="D1" s="7" t="inlineStr">
        <is>
          <t>90D IV High</t>
        </is>
      </c>
      <c r="E1" s="7" t="inlineStr">
        <is>
          <t>IV Percentile (90D)</t>
        </is>
      </c>
      <c r="F1" s="7" t="inlineStr">
        <is>
          <t>Hedge Trigger</t>
        </is>
      </c>
    </row>
    <row r="2">
      <c r="A2" s="8" t="inlineStr">
        <is>
          <t>SRF</t>
        </is>
      </c>
      <c r="B2" s="9" t="n">
        <v>0.334</v>
      </c>
      <c r="C2" s="9" t="n">
        <v>0.21</v>
      </c>
      <c r="D2" s="9" t="n">
        <v>0.42</v>
      </c>
      <c r="E2" s="16">
        <f>(B2-C2)/(D2-C2)</f>
        <v/>
      </c>
      <c r="F2" s="8">
        <f>IF(E2&lt;=33.3%,"HEDGE NOW (cheap)",IF(E2&lt;=66.7%,"WATCH","EXPENSIVE - defer"))</f>
        <v/>
      </c>
    </row>
    <row r="3">
      <c r="A3" s="8" t="inlineStr">
        <is>
          <t>BHARATFORG</t>
        </is>
      </c>
      <c r="B3" s="9" t="n">
        <v>0.29</v>
      </c>
      <c r="C3" s="9" t="n">
        <v>0.26</v>
      </c>
      <c r="D3" s="9" t="n">
        <v>0.41</v>
      </c>
      <c r="E3" s="16">
        <f>(B3-C3)/(D3-C3)</f>
        <v/>
      </c>
      <c r="F3" s="8">
        <f>IF(E3&lt;=33.3%,"HEDGE NOW (cheap)",IF(E3&lt;=66.7%,"WATCH","EXPENSIVE - defer"))</f>
        <v/>
      </c>
    </row>
    <row r="4">
      <c r="A4" s="8" t="inlineStr">
        <is>
          <t>KALYANKJIL</t>
        </is>
      </c>
      <c r="B4" s="9" t="n">
        <v>0.5820000000000001</v>
      </c>
      <c r="C4" s="9" t="n">
        <v>0.37</v>
      </c>
      <c r="D4" s="9" t="n">
        <v>0.72</v>
      </c>
      <c r="E4" s="16">
        <f>(B4-C4)/(D4-C4)</f>
        <v/>
      </c>
      <c r="F4" s="8">
        <f>IF(E4&lt;=33.3%,"HEDGE NOW (cheap)",IF(E4&lt;=66.7%,"WATCH","EXPENSIVE - defer"))</f>
        <v/>
      </c>
    </row>
    <row r="5">
      <c r="A5" s="8" t="inlineStr">
        <is>
          <t>POLYCAB</t>
        </is>
      </c>
      <c r="B5" s="9" t="n">
        <v>0.28</v>
      </c>
      <c r="C5" s="9" t="n">
        <v>0.26</v>
      </c>
      <c r="D5" s="9" t="n">
        <v>0.39</v>
      </c>
      <c r="E5" s="16">
        <f>(B5-C5)/(D5-C5)</f>
        <v/>
      </c>
      <c r="F5" s="8">
        <f>IF(E5&lt;=33.3%,"HEDGE NOW (cheap)",IF(E5&lt;=66.7%,"WATCH","EXPENSIVE - defer"))</f>
        <v/>
      </c>
    </row>
    <row r="6">
      <c r="A6" s="8" t="inlineStr">
        <is>
          <t>HDFCBANK</t>
        </is>
      </c>
      <c r="B6" s="9" t="n">
        <v>0.245</v>
      </c>
      <c r="C6" s="9" t="n">
        <v>0.2</v>
      </c>
      <c r="D6" s="9" t="n">
        <v>0.33</v>
      </c>
      <c r="E6" s="16">
        <f>(B6-C6)/(D6-C6)</f>
        <v/>
      </c>
      <c r="F6" s="8">
        <f>IF(E6&lt;=33.3%,"HEDGE NOW (cheap)",IF(E6&lt;=66.7%,"WATCH","EXPENSIVE - defer"))</f>
        <v/>
      </c>
    </row>
    <row r="7">
      <c r="A7" s="8" t="inlineStr">
        <is>
          <t>ICICIBANK</t>
        </is>
      </c>
      <c r="B7" s="9" t="n">
        <v>0.255</v>
      </c>
      <c r="C7" s="9" t="n">
        <v>0.195</v>
      </c>
      <c r="D7" s="9" t="n">
        <v>0.3</v>
      </c>
      <c r="E7" s="16">
        <f>(B7-C7)/(D7-C7)</f>
        <v/>
      </c>
      <c r="F7" s="8">
        <f>IF(E7&lt;=33.3%,"HEDGE NOW (cheap)",IF(E7&lt;=66.7%,"WATCH","EXPENSIVE - defer"))</f>
        <v/>
      </c>
    </row>
    <row r="8">
      <c r="A8" s="8" t="inlineStr">
        <is>
          <t>INFY</t>
        </is>
      </c>
      <c r="B8" s="9" t="n">
        <v>0.337</v>
      </c>
      <c r="C8" s="9" t="n">
        <v>0.3</v>
      </c>
      <c r="D8" s="9" t="n">
        <v>0.39</v>
      </c>
      <c r="E8" s="16">
        <f>(B8-C8)/(D8-C8)</f>
        <v/>
      </c>
      <c r="F8" s="8">
        <f>IF(E8&lt;=33.3%,"HEDGE NOW (cheap)",IF(E8&lt;=66.7%,"WATCH","EXPENSIVE - defer"))</f>
        <v/>
      </c>
    </row>
    <row r="9">
      <c r="A9" s="8" t="inlineStr">
        <is>
          <t>LT</t>
        </is>
      </c>
      <c r="B9" s="9" t="n">
        <v>0.243</v>
      </c>
      <c r="C9" s="9" t="n">
        <v>0.205</v>
      </c>
      <c r="D9" s="9" t="n">
        <v>0.318</v>
      </c>
      <c r="E9" s="16">
        <f>(B9-C9)/(D9-C9)</f>
        <v/>
      </c>
      <c r="F9" s="8">
        <f>IF(E9&lt;=33.3%,"HEDGE NOW (cheap)",IF(E9&lt;=66.7%,"WATCH","EXPENSIVE - defer"))</f>
        <v/>
      </c>
    </row>
    <row r="10">
      <c r="A10" s="8" t="inlineStr">
        <is>
          <t>HINDUNILVR</t>
        </is>
      </c>
      <c r="B10" s="9" t="n">
        <v>0.221</v>
      </c>
      <c r="C10" s="9" t="n">
        <v>0.209</v>
      </c>
      <c r="D10" s="9" t="n">
        <v>0.259</v>
      </c>
      <c r="E10" s="16">
        <f>(B10-C10)/(D10-C10)</f>
        <v/>
      </c>
      <c r="F10" s="8">
        <f>IF(E10&lt;=33.3%,"HEDGE NOW (cheap)",IF(E10&lt;=66.7%,"WATCH","EXPENSIVE - defer"))</f>
        <v/>
      </c>
    </row>
    <row r="11">
      <c r="A11" s="8" t="inlineStr">
        <is>
          <t>TITAN</t>
        </is>
      </c>
      <c r="B11" s="9" t="n">
        <v>0.2</v>
      </c>
      <c r="C11" s="9" t="n">
        <v>0.2</v>
      </c>
      <c r="D11" s="9" t="n">
        <v>0.316</v>
      </c>
      <c r="E11" s="16">
        <f>(B11-C11)/(D11-C11)</f>
        <v/>
      </c>
      <c r="F11" s="8">
        <f>IF(E11&lt;=33.3%,"HEDGE NOW (cheap)",IF(E11&lt;=66.7%,"WATCH","EXPENSIVE - defer"))</f>
        <v/>
      </c>
    </row>
    <row r="13">
      <c r="A13" s="6" t="inlineStr">
        <is>
          <t>Note: Current IV and 90D low/high bands sourced from QuantsApp Pro+ IVR/IVP-H tool (captured 17-Jul-2026 close). 90-day series itself uses a bounded synthetic path anchored to these real endpoints (src/bs_engine.py::synthetic_iv_series) for the chart -- replace with a full daily QuantsApp/NSE IV export for exact day-by-day history.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20" customWidth="1" min="5" max="5"/>
    <col width="20" customWidth="1" min="6" max="6"/>
  </cols>
  <sheetData>
    <row r="2">
      <c r="B2" s="1" t="inlineStr">
        <is>
          <t>Portfolio Value Under Market Scenarios — Hedged vs Unhedged</t>
        </is>
      </c>
    </row>
    <row r="3"/>
    <row r="4">
      <c r="A4" s="7" t="inlineStr">
        <is>
          <t>Scenario</t>
        </is>
      </c>
      <c r="B4" s="7" t="inlineStr">
        <is>
          <t>Type</t>
        </is>
      </c>
      <c r="C4" s="7" t="inlineStr">
        <is>
          <t>Unhedged Return %</t>
        </is>
      </c>
      <c r="D4" s="7" t="inlineStr">
        <is>
          <t>Hedged Return %</t>
        </is>
      </c>
      <c r="E4" s="7" t="inlineStr">
        <is>
          <t>Drawdown Reduction (bps)</t>
        </is>
      </c>
      <c r="F4" s="7" t="inlineStr">
        <is>
          <t>Protection Efficiency %</t>
        </is>
      </c>
    </row>
    <row r="5">
      <c r="A5" s="8" t="inlineStr">
        <is>
          <t>-10% instantaneous market move</t>
        </is>
      </c>
      <c r="B5" s="8" t="inlineStr">
        <is>
          <t>hypothetical</t>
        </is>
      </c>
      <c r="C5" s="19" t="n">
        <v>-0.115</v>
      </c>
      <c r="D5" s="19" t="n">
        <v>-0.0973</v>
      </c>
      <c r="E5" s="8" t="n">
        <v>177</v>
      </c>
      <c r="F5" s="16" t="n">
        <v>0.154</v>
      </c>
    </row>
    <row r="6">
      <c r="A6" s="8" t="inlineStr">
        <is>
          <t>-20% instantaneous market move</t>
        </is>
      </c>
      <c r="B6" s="8" t="inlineStr">
        <is>
          <t>hypothetical</t>
        </is>
      </c>
      <c r="C6" s="19" t="n">
        <v>-0.23</v>
      </c>
      <c r="D6" s="19" t="n">
        <v>-0.1705</v>
      </c>
      <c r="E6" s="8" t="n">
        <v>595</v>
      </c>
      <c r="F6" s="16" t="n">
        <v>0.259</v>
      </c>
    </row>
    <row r="7">
      <c r="A7" s="8" t="inlineStr">
        <is>
          <t>+15% instantaneous market move</t>
        </is>
      </c>
      <c r="B7" s="8" t="inlineStr">
        <is>
          <t>hypothetical</t>
        </is>
      </c>
      <c r="C7" s="19" t="n">
        <v>0.1725</v>
      </c>
      <c r="D7" s="19" t="n">
        <v>0.1831</v>
      </c>
      <c r="E7" s="8" t="n">
        <v/>
      </c>
      <c r="F7" s="8" t="n"/>
    </row>
    <row r="8">
      <c r="A8" s="8" t="inlineStr">
        <is>
          <t>Feb-Mar 2020 COVID Crash</t>
        </is>
      </c>
      <c r="B8" s="8" t="inlineStr">
        <is>
          <t>historical_proxy</t>
        </is>
      </c>
      <c r="C8" s="19" t="n">
        <v>-0.4370000000000001</v>
      </c>
      <c r="D8" s="19" t="n">
        <v>-0.3482</v>
      </c>
      <c r="E8" s="8" t="n">
        <v>888</v>
      </c>
      <c r="F8" s="16" t="n">
        <v>0.203</v>
      </c>
    </row>
    <row r="9">
      <c r="A9" s="8" t="inlineStr">
        <is>
          <t>2022 Rate-Hike Correction</t>
        </is>
      </c>
      <c r="B9" s="8" t="inlineStr">
        <is>
          <t>historical_proxy</t>
        </is>
      </c>
      <c r="C9" s="19" t="n">
        <v>-0.184</v>
      </c>
      <c r="D9" s="19" t="n">
        <v>-0.1419</v>
      </c>
      <c r="E9" s="8" t="n">
        <v>421</v>
      </c>
      <c r="F9" s="16" t="n">
        <v>0.229</v>
      </c>
    </row>
    <row r="10">
      <c r="A10" s="8" t="inlineStr">
        <is>
          <t>2024 Pre-Election Volatility Spike</t>
        </is>
      </c>
      <c r="B10" s="8" t="inlineStr">
        <is>
          <t>historical_proxy</t>
        </is>
      </c>
      <c r="C10" s="19" t="n">
        <v>-0.1035</v>
      </c>
      <c r="D10" s="19" t="n">
        <v>-0.0858</v>
      </c>
      <c r="E10" s="8" t="n">
        <v>177</v>
      </c>
      <c r="F10" s="16" t="n">
        <v>0.171</v>
      </c>
    </row>
    <row r="12">
      <c r="A12" s="6" t="inlineStr">
        <is>
          <t>Note: portfolio-level approximation using AUM-weighted sleeve betas and actual collar/covered-call strike distances; not a full multi-asset Monte Carlo. See src/overlay_model.py::portfolio_value_under_shock().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30" customWidth="1" min="3" max="3"/>
  </cols>
  <sheetData>
    <row r="2">
      <c r="B2" s="1" t="inlineStr">
        <is>
          <t>Debt Sleeve — Swap-Based Duration Overlay</t>
        </is>
      </c>
    </row>
    <row r="4">
      <c r="B4" t="inlineStr">
        <is>
          <t>Debt sleeve (Rs Cr)</t>
        </is>
      </c>
      <c r="C4" s="5" t="n">
        <v>7</v>
      </c>
    </row>
    <row r="5">
      <c r="B5" t="inlineStr">
        <is>
          <t>Current modified duration (yrs)</t>
        </is>
      </c>
      <c r="C5" s="5" t="n">
        <v>2.1</v>
      </c>
    </row>
    <row r="6">
      <c r="B6" t="inlineStr">
        <is>
          <t>Target duration shift (yrs)</t>
        </is>
      </c>
      <c r="C6" s="5" t="n">
        <v>0.75</v>
      </c>
    </row>
    <row r="7">
      <c r="B7" t="inlineStr">
        <is>
          <t>Approx. swap notional required (Rs Cr)</t>
        </is>
      </c>
      <c r="C7">
        <f>C4*(C6/C5)</f>
        <v/>
      </c>
    </row>
    <row r="8">
      <c r="B8" t="inlineStr">
        <is>
          <t>Cost avoidance vs physical bond trade (Rs Lakh)</t>
        </is>
      </c>
      <c r="C8" s="5" t="n">
        <v>4.2</v>
      </c>
    </row>
    <row r="9">
      <c r="B9" t="inlineStr">
        <is>
          <t>Capital gains avoided (Rs Lakh)</t>
        </is>
      </c>
      <c r="C9" s="5" t="n">
        <v>18</v>
      </c>
    </row>
    <row r="11">
      <c r="B11" s="20" t="inlineStr">
        <is>
          <t>Counterparty: OTC, CCIL-cleared (distinct risk profile vs exchange-cleared equity F&amp;O — see Risk Framework). Duration/cost-avoidance figures remain illustrative (bond-desk data not sourced from QuantsApp).</t>
        </is>
      </c>
    </row>
    <row r="14">
      <c r="B14" s="1" t="inlineStr">
        <is>
          <t>Currency Overlay — USD/LRS Risk Reversal (Collar)</t>
        </is>
      </c>
    </row>
    <row r="16">
      <c r="B16" t="inlineStr">
        <is>
          <t>Total USD/LRS allocation (Rs Cr)</t>
        </is>
      </c>
      <c r="C16" s="5" t="n">
        <v>3</v>
      </c>
    </row>
    <row r="17">
      <c r="B17" t="inlineStr">
        <is>
          <t>Target hedge ratio</t>
        </is>
      </c>
      <c r="C17" s="5" t="n">
        <v>0.5</v>
      </c>
    </row>
    <row r="18">
      <c r="B18" t="inlineStr">
        <is>
          <t>Hedge notional (Rs Cr)</t>
        </is>
      </c>
      <c r="C18">
        <f>C16*C17</f>
        <v/>
      </c>
    </row>
    <row r="19">
      <c r="B19" t="inlineStr">
        <is>
          <t>Structure</t>
        </is>
      </c>
      <c r="C19" t="inlineStr">
        <is>
          <t>Risk reversal (collar): long USD put / short USD call</t>
        </is>
      </c>
    </row>
    <row r="20">
      <c r="B20" t="inlineStr">
        <is>
          <t>Tenor (days)</t>
        </is>
      </c>
      <c r="C20" s="5" t="n">
        <v>180</v>
      </c>
    </row>
    <row r="21">
      <c r="B21" t="inlineStr">
        <is>
          <t>USDINR Spot</t>
        </is>
      </c>
      <c r="C21" s="5" t="n">
        <v>86.5</v>
      </c>
    </row>
    <row r="22">
      <c r="B22" t="inlineStr">
        <is>
          <t>USDINR annualised vol</t>
        </is>
      </c>
      <c r="C22" s="5" t="n">
        <v>0.065</v>
      </c>
    </row>
    <row r="23">
      <c r="B23" t="inlineStr">
        <is>
          <t>Put strike (USDINR)</t>
        </is>
      </c>
      <c r="C23" s="5" t="n">
        <v>84.77</v>
      </c>
    </row>
    <row r="24">
      <c r="B24" t="inlineStr">
        <is>
          <t>Call strike (USDINR)</t>
        </is>
      </c>
      <c r="C24" s="5" t="n">
        <v>91.69</v>
      </c>
    </row>
    <row r="25">
      <c r="B25" t="inlineStr">
        <is>
          <t>Put premium (USDINR)</t>
        </is>
      </c>
      <c r="C25" s="5" t="n">
        <v>0.226</v>
      </c>
    </row>
    <row r="26">
      <c r="B26" t="inlineStr">
        <is>
          <t>Call premium (USDINR)</t>
        </is>
      </c>
      <c r="C26" s="5" t="n">
        <v>0.74</v>
      </c>
    </row>
    <row r="27">
      <c r="B27" t="inlineStr">
        <is>
          <t>Net premium (USDINR)</t>
        </is>
      </c>
      <c r="C27">
        <f>C26-C25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7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16" customWidth="1" min="3" max="3"/>
  </cols>
  <sheetData>
    <row r="2">
      <c r="B2" s="1" t="inlineStr">
        <is>
          <t>Margin Stress Test &amp; Liquidity Contingency</t>
        </is>
      </c>
    </row>
    <row r="4">
      <c r="B4" t="inlineStr">
        <is>
          <t>Baseline margin (Rs Cr)</t>
        </is>
      </c>
      <c r="C4" s="5" t="n">
        <v>1.8</v>
      </c>
    </row>
    <row r="5">
      <c r="B5" t="inlineStr">
        <is>
          <t>Margin stress move (Nifty, single day)</t>
        </is>
      </c>
      <c r="C5" s="21" t="n">
        <v>0.07000000000000001</v>
      </c>
    </row>
    <row r="6">
      <c r="B6" t="inlineStr">
        <is>
          <t>Margin stress increase (%)</t>
        </is>
      </c>
      <c r="C6" s="21" t="n">
        <v>0.65</v>
      </c>
    </row>
    <row r="7">
      <c r="B7" t="inlineStr">
        <is>
          <t>Stressed margin requirement (Rs Cr)</t>
        </is>
      </c>
      <c r="C7">
        <f>C4*(1+C6)</f>
        <v/>
      </c>
    </row>
    <row r="8">
      <c r="B8" t="inlineStr">
        <is>
          <t>Minimum collateral buffer policy (Rs Cr)</t>
        </is>
      </c>
      <c r="C8" s="5" t="n">
        <v>3.5</v>
      </c>
    </row>
    <row r="9">
      <c r="B9" t="inlineStr">
        <is>
          <t>Buffer over stressed requirement (%)</t>
        </is>
      </c>
      <c r="C9" s="22">
        <f>C8/C7-1</f>
        <v/>
      </c>
    </row>
    <row r="10">
      <c r="B10" t="inlineStr">
        <is>
          <t>Redemption stress scenario (% AUM)</t>
        </is>
      </c>
      <c r="C10" s="21" t="n">
        <v>0.2</v>
      </c>
    </row>
    <row r="11">
      <c r="B11" t="inlineStr">
        <is>
          <t>Redemption stress scenario (Rs Cr)</t>
        </is>
      </c>
      <c r="C11">
        <f>'Cover &amp; Assumptions'!$C$7*C10</f>
        <v/>
      </c>
    </row>
    <row r="13">
      <c r="B13" s="4" t="inlineStr">
        <is>
          <t>Escalation Triggers</t>
        </is>
      </c>
    </row>
    <row r="14">
      <c r="B14" t="inlineStr">
        <is>
          <t>- Hedge cost exceeding 60bps budget by &gt;20% in any quarter -&gt; mandatory IC review</t>
        </is>
      </c>
    </row>
    <row r="15">
      <c r="B15" t="inlineStr">
        <is>
          <t>- Margin utilization exceeding 70% of posted collateral -&gt; immediate de-risking of options book</t>
        </is>
      </c>
    </row>
    <row r="16">
      <c r="B16" t="inlineStr">
        <is>
          <t>- Single-name option liquidity score (OI/ADV) below desk threshold -&gt; mandatory switch to index-proxy hedge</t>
        </is>
      </c>
    </row>
    <row r="17">
      <c r="B17" t="inlineStr">
        <is>
          <t>- Portfolio tracking error vs Nifty 500 exceeding 8% band (incl. overlay effects) -&gt; review and rebalance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2026-07-19T09:12:50Z</dcterms:created>
  <dcterms:modified xmlns:dcterms="http://purl.org/dc/terms/" xmlns:xsi="http://www.w3.org/2001/XMLSchema-instance" xsi:type="dcterms:W3CDTF">2026-07-19T09:12:50Z</dcterms:modified>
</cp:coreProperties>
</file>