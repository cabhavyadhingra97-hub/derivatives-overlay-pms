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ReadMe" sheetId="1" state="visible" r:id="rId1"/>
    <sheet xmlns:r="http://schemas.openxmlformats.org/officeDocument/2006/relationships" name="1_Assumptions" sheetId="2" state="visible" r:id="rId2"/>
    <sheet xmlns:r="http://schemas.openxmlformats.org/officeDocument/2006/relationships" name="2_Collar_WorkedExample" sheetId="3" state="visible" r:id="rId3"/>
    <sheet xmlns:r="http://schemas.openxmlformats.org/officeDocument/2006/relationships" name="3_Collar_AllStocks" sheetId="4" state="visible" r:id="rId4"/>
    <sheet xmlns:r="http://schemas.openxmlformats.org/officeDocument/2006/relationships" name="4_CoveredCall_WorkedExample" sheetId="5" state="visible" r:id="rId5"/>
    <sheet xmlns:r="http://schemas.openxmlformats.org/officeDocument/2006/relationships" name="5_CoveredCall_AllStocks" sheetId="6" state="visible" r:id="rId6"/>
    <sheet xmlns:r="http://schemas.openxmlformats.org/officeDocument/2006/relationships" name="6_IV_Percentile_Explained" sheetId="7" state="visible" r:id="rId7"/>
    <sheet xmlns:r="http://schemas.openxmlformats.org/officeDocument/2006/relationships" name="7_StressTest_Explained" sheetId="8" state="visible" r:id="rId8"/>
    <sheet xmlns:r="http://schemas.openxmlformats.org/officeDocument/2006/relationships" name="8_Swap_Overlay_Explained" sheetId="9" state="visible" r:id="rId9"/>
    <sheet xmlns:r="http://schemas.openxmlformats.org/officeDocument/2006/relationships" name="9_Currency_Overlay_Explained" sheetId="10" state="visible" r:id="rId10"/>
    <sheet xmlns:r="http://schemas.openxmlformats.org/officeDocument/2006/relationships" name="10_Risk_Framework_Explained" sheetId="11" state="visible" r:id="rId11"/>
    <sheet xmlns:r="http://schemas.openxmlformats.org/officeDocument/2006/relationships" name="11_Program_Summary_Explained" sheetId="12" state="visible" r:id="rId12"/>
  </sheets>
  <definedNames/>
  <calcPr calcId="124519" fullCalcOnLoad="1"/>
</workbook>
</file>

<file path=xl/styles.xml><?xml version="1.0" encoding="utf-8"?>
<styleSheet xmlns="http://schemas.openxmlformats.org/spreadsheetml/2006/main">
  <numFmts count="4">
    <numFmt numFmtId="164" formatCode="0.0%"/>
    <numFmt numFmtId="165" formatCode="0.0000"/>
    <numFmt numFmtId="166" formatCode="0.000%"/>
    <numFmt numFmtId="167" formatCode="0.000"/>
  </numFmts>
  <fonts count="11">
    <font>
      <name val="Calibri"/>
      <family val="2"/>
      <color theme="1"/>
      <sz val="11"/>
      <scheme val="minor"/>
    </font>
    <font>
      <name val="Calibri"/>
      <b val="1"/>
      <color rgb="000B0B0B"/>
      <sz val="15"/>
    </font>
    <font>
      <name val="Calibri"/>
      <i val="1"/>
      <color rgb="0052514E"/>
      <sz val="10"/>
    </font>
    <font>
      <name val="Calibri"/>
      <b val="1"/>
    </font>
    <font>
      <name val="Calibri"/>
      <color rgb="000000FF"/>
    </font>
    <font>
      <name val="Calibri"/>
      <b val="1"/>
      <color rgb="000B6B0B"/>
    </font>
    <font>
      <name val="Calibri"/>
      <i val="1"/>
      <color rgb="0052514E"/>
      <sz val="9.5"/>
    </font>
    <font>
      <name val="Calibri"/>
      <i val="1"/>
      <color rgb="00D03B3B"/>
      <sz val="9"/>
    </font>
    <font>
      <name val="Calibri"/>
      <b val="1"/>
      <color rgb="00FFFFFF"/>
      <sz val="10"/>
    </font>
    <font>
      <name val="Calibri"/>
      <b val="1"/>
      <color rgb="00184F95"/>
      <sz val="12"/>
    </font>
    <font>
      <name val="Calibri"/>
      <b val="1"/>
      <color rgb="000B6B0B"/>
      <sz val="12"/>
    </font>
  </fonts>
  <fills count="4">
    <fill>
      <patternFill/>
    </fill>
    <fill>
      <patternFill patternType="gray125"/>
    </fill>
    <fill>
      <patternFill patternType="solid">
        <fgColor rgb="00FFFDE0"/>
      </patternFill>
    </fill>
    <fill>
      <patternFill patternType="solid">
        <fgColor rgb="002A78D6"/>
      </patternFill>
    </fill>
  </fills>
  <borders count="5">
    <border>
      <left/>
      <right/>
      <top/>
      <bottom/>
      <diagonal/>
    </border>
    <border>
      <left style="thin">
        <color rgb="00D8D6CD"/>
      </left>
      <right style="thin">
        <color rgb="00D8D6CD"/>
      </right>
      <top style="thin">
        <color rgb="00D8D6CD"/>
      </top>
      <bottom style="thin">
        <color rgb="00D8D6CD"/>
      </bottom>
    </border>
    <border>
      <left/>
      <right/>
      <top style="thin">
        <color rgb="00D8D6CD"/>
      </top>
      <bottom/>
      <diagonal/>
    </border>
    <border>
      <left/>
      <right style="thin">
        <color rgb="00D8D6CD"/>
      </right>
      <top style="thin">
        <color rgb="00D8D6CD"/>
      </top>
      <bottom/>
      <diagonal/>
    </border>
    <border>
      <left/>
      <right style="thin">
        <color rgb="00D8D6CD"/>
      </right>
      <top style="thin">
        <color rgb="00D8D6CD"/>
      </top>
      <bottom style="thin">
        <color rgb="00D8D6CD"/>
      </bottom>
      <diagonal/>
    </border>
  </borders>
  <cellStyleXfs count="1">
    <xf numFmtId="0" fontId="0" fillId="0" borderId="0"/>
  </cellStyleXfs>
  <cellXfs count="3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0" fillId="0" borderId="0" applyAlignment="1" pivotButton="0" quotePrefix="0" xfId="0">
      <alignment wrapText="1"/>
    </xf>
    <xf numFmtId="0" fontId="4" fillId="2"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3" borderId="1" applyAlignment="1" pivotButton="0" quotePrefix="0" xfId="0">
      <alignment horizontal="left" vertical="center" wrapText="1"/>
    </xf>
    <xf numFmtId="0" fontId="0" fillId="0" borderId="1" pivotButton="0" quotePrefix="0" xfId="0"/>
    <xf numFmtId="0" fontId="4" fillId="2" borderId="1" pivotButton="0" quotePrefix="0" xfId="0"/>
    <xf numFmtId="0" fontId="6" fillId="0" borderId="1" applyAlignment="1" pivotButton="0" quotePrefix="0" xfId="0">
      <alignment vertical="top" wrapText="1"/>
    </xf>
    <xf numFmtId="0" fontId="9" fillId="0" borderId="1" pivotButton="0" quotePrefix="0" xfId="0"/>
    <xf numFmtId="2" fontId="4" fillId="2" borderId="1" pivotButton="0" quotePrefix="0" xfId="0"/>
    <xf numFmtId="164" fontId="4" fillId="2" borderId="1" pivotButton="0" quotePrefix="0" xfId="0"/>
    <xf numFmtId="1" fontId="4" fillId="2" borderId="1" pivotButton="0" quotePrefix="0" xfId="0"/>
    <xf numFmtId="165" fontId="0" fillId="0" borderId="1" pivotButton="0" quotePrefix="0" xfId="0"/>
    <xf numFmtId="9" fontId="4" fillId="2" borderId="1" pivotButton="0" quotePrefix="0" xfId="0"/>
    <xf numFmtId="2" fontId="0" fillId="0" borderId="1" pivotButton="0" quotePrefix="0" xfId="0"/>
    <xf numFmtId="2" fontId="5" fillId="0" borderId="1" pivotButton="0" quotePrefix="0" xfId="0"/>
    <xf numFmtId="49" fontId="0" fillId="0" borderId="1" pivotButton="0" quotePrefix="0" xfId="0"/>
    <xf numFmtId="165" fontId="5" fillId="0" borderId="1" pivotButton="0" quotePrefix="0" xfId="0"/>
    <xf numFmtId="10" fontId="4" fillId="2" borderId="1" pivotButton="0" quotePrefix="0" xfId="0"/>
    <xf numFmtId="0" fontId="6" fillId="0" borderId="0" applyAlignment="1" pivotButton="0" quotePrefix="0" xfId="0">
      <alignment wrapText="1"/>
    </xf>
    <xf numFmtId="0" fontId="5" fillId="0" borderId="1" pivotButton="0" quotePrefix="0" xfId="0"/>
    <xf numFmtId="164" fontId="0" fillId="0" borderId="0" pivotButton="0" quotePrefix="0" xfId="0"/>
    <xf numFmtId="0" fontId="10" fillId="0" borderId="0" pivotButton="0" quotePrefix="0" xfId="0"/>
    <xf numFmtId="49" fontId="5" fillId="0" borderId="1" pivotButton="0" quotePrefix="0" xfId="0"/>
    <xf numFmtId="166" fontId="0" fillId="0" borderId="1" pivotButton="0" quotePrefix="0" xfId="0"/>
    <xf numFmtId="10" fontId="0" fillId="0" borderId="1" pivotButton="0" quotePrefix="0" xfId="0"/>
    <xf numFmtId="164" fontId="0" fillId="0" borderId="1" pivotButton="0" quotePrefix="0" xfId="0"/>
    <xf numFmtId="49" fontId="4" fillId="2" borderId="1" pivotButton="0" quotePrefix="0" xfId="0"/>
    <xf numFmtId="167" fontId="5" fillId="0" borderId="1" pivotButton="0" quotePrefix="0" xfId="0"/>
    <xf numFmtId="164" fontId="5" fillId="0" borderId="1" pivotButton="0" quotePrefix="0" xfId="0"/>
    <xf numFmtId="0" fontId="0" fillId="0" borderId="1" applyAlignment="1" pivotButton="0" quotePrefix="0" xfId="0">
      <alignment wrapText="1"/>
    </xf>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4"/>
  <sheetViews>
    <sheetView workbookViewId="0">
      <selection activeCell="A1" sqref="A1"/>
    </sheetView>
  </sheetViews>
  <sheetFormatPr baseColWidth="8" defaultRowHeight="15"/>
  <cols>
    <col width="3" customWidth="1" min="1" max="1"/>
    <col width="26" customWidth="1" min="2" max="2"/>
    <col width="90" customWidth="1" min="3" max="3"/>
  </cols>
  <sheetData>
    <row r="2">
      <c r="B2" s="1" t="inlineStr">
        <is>
          <t>Derivatives Overlay Program — Fully Explained Calculation Workbook</t>
        </is>
      </c>
    </row>
    <row r="3">
      <c r="B3" s="2" t="inlineStr">
        <is>
          <t>Every number in this file is broken into its individual calculation steps, with the formula, the computed value, and a plain-English reason for that step or that choice.</t>
        </is>
      </c>
    </row>
    <row r="6">
      <c r="B6" s="3" t="inlineStr">
        <is>
          <t>Sheet</t>
        </is>
      </c>
      <c r="C6" s="3" t="inlineStr">
        <is>
          <t>What it explains</t>
        </is>
      </c>
    </row>
    <row r="7" ht="30" customHeight="1">
      <c r="B7" t="inlineStr">
        <is>
          <t>1_Assumptions</t>
        </is>
      </c>
      <c r="C7" s="4" t="inlineStr">
        <is>
          <t>Every input to the model, where it came from (QuantsApp Pro+ vs. illustrative), and why that specific value/structure was chosen.</t>
        </is>
      </c>
    </row>
    <row r="8" ht="30" customHeight="1">
      <c r="B8" t="inlineStr">
        <is>
          <t>2_Collar_WorkedExample</t>
        </is>
      </c>
      <c r="C8" s="4" t="inlineStr">
        <is>
          <t>One protection-sleeve name (SRF) walked through the full protective-put/collar pricing, step by step, from spot price to final bps cost.</t>
        </is>
      </c>
    </row>
    <row r="9" ht="30" customHeight="1">
      <c r="B9" t="inlineStr">
        <is>
          <t>3_Collar_AllStocks</t>
        </is>
      </c>
      <c r="C9" s="4" t="inlineStr">
        <is>
          <t>The same calculation applied to all 4 protection-sleeve names, in table form, with a column-by-column explanation.</t>
        </is>
      </c>
    </row>
    <row r="10" ht="30" customHeight="1">
      <c r="B10" t="inlineStr">
        <is>
          <t>4_CoveredCall_WorkedExample</t>
        </is>
      </c>
      <c r="C10" s="4" t="inlineStr">
        <is>
          <t>One income-sleeve name (Infosys) walked through the full covered-call pricing, step by step.</t>
        </is>
      </c>
    </row>
    <row r="11" ht="30" customHeight="1">
      <c r="B11" t="inlineStr">
        <is>
          <t>5_CoveredCall_AllStocks</t>
        </is>
      </c>
      <c r="C11" s="4" t="inlineStr">
        <is>
          <t>The same calculation applied to all 6 income-sleeve names.</t>
        </is>
      </c>
    </row>
    <row r="12" ht="30" customHeight="1">
      <c r="B12" t="inlineStr">
        <is>
          <t>6_IV_Percentile_Explained</t>
        </is>
      </c>
      <c r="C12" s="4" t="inlineStr">
        <is>
          <t>How the hedge-timing rule works, why IV percentile (not raw IV) is the right signal, and today's real reading per stock.</t>
        </is>
      </c>
    </row>
    <row r="13" ht="30" customHeight="1">
      <c r="B13" t="inlineStr">
        <is>
          <t>7_StressTest_Explained</t>
        </is>
      </c>
      <c r="C13" s="4" t="inlineStr">
        <is>
          <t>How the -10%/-20%/+15% and historical-window stress scenarios are built, and why protection efficiency (not just bps saved) is the number that matters.</t>
        </is>
      </c>
    </row>
    <row r="14" ht="30" customHeight="1">
      <c r="B14" t="inlineStr">
        <is>
          <t>8_Swap_Overlay_Explained</t>
        </is>
      </c>
      <c r="C14" s="4" t="inlineStr">
        <is>
          <t>Why a swap instead of trading the bond book, and how the notional/cost-avoidance numbers are derived.</t>
        </is>
      </c>
    </row>
    <row r="15" ht="30" customHeight="1">
      <c r="B15" t="inlineStr">
        <is>
          <t>9_Currency_Overlay_Explained</t>
        </is>
      </c>
      <c r="C15" s="4" t="inlineStr">
        <is>
          <t>Why a risk reversal (not a forward or a full hedge), and how the strikes/premiums are derived.</t>
        </is>
      </c>
    </row>
    <row r="16" ht="30" customHeight="1">
      <c r="B16" t="inlineStr">
        <is>
          <t>10_Risk_Framework_Explained</t>
        </is>
      </c>
      <c r="C16" s="4" t="inlineStr">
        <is>
          <t>Margin stress test and liquidity contingency math, explained.</t>
        </is>
      </c>
    </row>
    <row r="17" ht="30" customHeight="1">
      <c r="B17" t="inlineStr">
        <is>
          <t>11_Program_Summary_Explained</t>
        </is>
      </c>
      <c r="C17" s="4" t="inlineStr">
        <is>
          <t>How the sleeve-level costs and incomes roll up into the final net program cost/(credit), and how that is checked against the IC budget.</t>
        </is>
      </c>
    </row>
    <row r="19">
      <c r="B19" s="3" t="inlineStr">
        <is>
          <t>Color key:</t>
        </is>
      </c>
    </row>
    <row r="20">
      <c r="B20" s="5" t="inlineStr">
        <is>
          <t>Yellow highlight, blue text = raw input (QuantsApp data or an assumption)</t>
        </is>
      </c>
    </row>
    <row r="21">
      <c r="B21" s="6" t="inlineStr">
        <is>
          <t>Green bold = a final result of a calculation step</t>
        </is>
      </c>
    </row>
    <row r="22">
      <c r="B22" s="7" t="inlineStr">
        <is>
          <t>Italic grey text (column C in each sheet) = the reason / why</t>
        </is>
      </c>
    </row>
    <row r="24">
      <c r="B24" s="8" t="inlineStr">
        <is>
          <t>Data as of: 17-Jul-2026 close. Source: QuantsApp Pro+ (Option Chain + IVR/IVP-H tools), web.quantsapp.com for equity sleeve; debt/currency/friction inputs remain illustrative.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2:E21"/>
  <sheetViews>
    <sheetView workbookViewId="0">
      <pane ySplit="4" topLeftCell="A5" activePane="bottomLeft" state="frozen"/>
      <selection pane="bottomLeft" activeCell="A1" sqref="A1"/>
    </sheetView>
  </sheetViews>
  <sheetFormatPr baseColWidth="8" defaultRowHeight="15"/>
  <cols>
    <col width="3" customWidth="1" min="1" max="1"/>
    <col width="14" customWidth="1" min="2" max="2"/>
    <col width="24" customWidth="1" min="3" max="3"/>
    <col width="16" customWidth="1" min="4" max="4"/>
    <col width="28" customWidth="1" min="5" max="5"/>
    <col width="55" customWidth="1" min="6" max="6"/>
  </cols>
  <sheetData>
    <row r="2">
      <c r="B2" s="1" t="inlineStr">
        <is>
          <t>Every Model Input — Value, Source, and Reason</t>
        </is>
      </c>
    </row>
    <row r="3"/>
    <row r="4">
      <c r="A4" s="9" t="inlineStr">
        <is>
          <t>Category</t>
        </is>
      </c>
      <c r="B4" s="9" t="inlineStr">
        <is>
          <t>Assumption</t>
        </is>
      </c>
      <c r="C4" s="9" t="inlineStr">
        <is>
          <t>Value</t>
        </is>
      </c>
      <c r="D4" s="9" t="inlineStr">
        <is>
          <t>Source</t>
        </is>
      </c>
      <c r="E4" s="9" t="inlineStr">
        <is>
          <t>Why This Value / Structure</t>
        </is>
      </c>
    </row>
    <row r="5" ht="42" customHeight="1">
      <c r="A5" s="10" t="inlineStr">
        <is>
          <t>Mandate</t>
        </is>
      </c>
      <c r="B5" s="10" t="inlineStr">
        <is>
          <t>Total AUM</t>
        </is>
      </c>
      <c r="C5" s="11" t="inlineStr">
        <is>
          <t>Rs 78.0 Cr</t>
        </is>
      </c>
      <c r="D5" s="10" t="inlineStr">
        <is>
          <t>Client planning brief (simulated)</t>
        </is>
      </c>
      <c r="E5" s="12" t="inlineStr">
        <is>
          <t>Fixed by the mandate scenario -- everything else scales off this base.</t>
        </is>
      </c>
    </row>
    <row r="6" ht="42" customHeight="1">
      <c r="A6" s="10" t="inlineStr">
        <is>
          <t>Mandate</t>
        </is>
      </c>
      <c r="B6" s="10" t="inlineStr">
        <is>
          <t>Equity sleeve</t>
        </is>
      </c>
      <c r="C6" s="11" t="inlineStr">
        <is>
          <t>Rs 68.0 Cr</t>
        </is>
      </c>
      <c r="D6" s="10" t="inlineStr">
        <is>
          <t>Client planning brief (simulated)</t>
        </is>
      </c>
      <c r="E6" s="12" t="inlineStr">
        <is>
          <t>87% of AUM -- this is a concentrated equity-heavy PMS, not a balanced fund.</t>
        </is>
      </c>
    </row>
    <row r="7" ht="42" customHeight="1">
      <c r="A7" s="10" t="inlineStr">
        <is>
          <t>Mandate</t>
        </is>
      </c>
      <c r="B7" s="10" t="inlineStr">
        <is>
          <t>Debt sleeve</t>
        </is>
      </c>
      <c r="C7" s="11" t="inlineStr">
        <is>
          <t>Rs 7.0 Cr</t>
        </is>
      </c>
      <c r="D7" s="10" t="inlineStr">
        <is>
          <t>Client planning brief (simulated)</t>
        </is>
      </c>
      <c r="E7" s="12" t="inlineStr">
        <is>
          <t>Held deliberately short-duration for liquidity/rebalancing dry powder, not return-seeking.</t>
        </is>
      </c>
    </row>
    <row r="8" ht="42" customHeight="1">
      <c r="A8" s="10" t="inlineStr">
        <is>
          <t>Mandate</t>
        </is>
      </c>
      <c r="B8" s="10" t="inlineStr">
        <is>
          <t>USD/LRS sleeve</t>
        </is>
      </c>
      <c r="C8" s="11" t="inlineStr">
        <is>
          <t>Rs 3.0 Cr</t>
        </is>
      </c>
      <c r="D8" s="10" t="inlineStr">
        <is>
          <t>Client planning brief (simulated)</t>
        </is>
      </c>
      <c r="E8" s="12" t="inlineStr">
        <is>
          <t>Contributed by 3 NRI clients under the LRS route -- unhedged until this program.</t>
        </is>
      </c>
    </row>
    <row r="9" ht="42" customHeight="1">
      <c r="A9" s="10" t="inlineStr">
        <is>
          <t>Mandate</t>
        </is>
      </c>
      <c r="B9" s="10" t="inlineStr">
        <is>
          <t>Equity beta to Nifty</t>
        </is>
      </c>
      <c r="C9" s="11" t="n">
        <v>1.15</v>
      </c>
      <c r="D9" s="10" t="inlineStr">
        <is>
          <t>Client planning brief (simulated)</t>
        </is>
      </c>
      <c r="E9" s="12" t="inlineStr">
        <is>
          <t>Book runs at 1.15x Nifty sensitivity because of concentrated mid-cap/promoter tilt -- used to scale every stress-scenario shock.</t>
        </is>
      </c>
    </row>
    <row r="10" ht="42" customHeight="1">
      <c r="A10" s="10" t="inlineStr">
        <is>
          <t>Mandate</t>
        </is>
      </c>
      <c r="B10" s="10" t="inlineStr">
        <is>
          <t>Debt modified duration</t>
        </is>
      </c>
      <c r="C10" s="11" t="inlineStr">
        <is>
          <t>2.1 yrs</t>
        </is>
      </c>
      <c r="D10" s="10" t="inlineStr">
        <is>
          <t>Illustrative -- bond desk, not QuantsApp</t>
        </is>
      </c>
      <c r="E10" s="12" t="inlineStr">
        <is>
          <t>QuantsApp is an equity/index F&amp;O platform; it does not carry bond-desk analytics, so this stays a simulated input.</t>
        </is>
      </c>
    </row>
    <row r="11" ht="42" customHeight="1">
      <c r="A11" s="10" t="inlineStr">
        <is>
          <t>Cost budget</t>
        </is>
      </c>
      <c r="B11" s="10" t="inlineStr">
        <is>
          <t>IC-approved budget</t>
        </is>
      </c>
      <c r="C11" s="11" t="inlineStr">
        <is>
          <t>40-60 bps/yr</t>
        </is>
      </c>
      <c r="D11" s="10" t="inlineStr">
        <is>
          <t>Investment Committee mandate</t>
        </is>
      </c>
      <c r="E11" s="12" t="inlineStr">
        <is>
          <t>The ceiling the entire options program is priced against -- this is the number the desk must not breach.</t>
        </is>
      </c>
    </row>
    <row r="12" ht="42" customHeight="1">
      <c r="A12" s="10" t="inlineStr">
        <is>
          <t>Pricing engine</t>
        </is>
      </c>
      <c r="B12" s="10" t="inlineStr">
        <is>
          <t>Risk-free rate</t>
        </is>
      </c>
      <c r="C12" s="11" t="inlineStr">
        <is>
          <t>6.8%</t>
        </is>
      </c>
      <c r="D12" s="10" t="inlineStr">
        <is>
          <t>Illustrative (INR repo-anchored)</t>
        </is>
      </c>
      <c r="E12" s="12" t="inlineStr">
        <is>
          <t>Used in every Black-Scholes discount factor -- higher rf raises call value / lowers put value slightly.</t>
        </is>
      </c>
    </row>
    <row r="13" ht="42" customHeight="1">
      <c r="A13" s="10" t="inlineStr">
        <is>
          <t>Pricing engine</t>
        </is>
      </c>
      <c r="B13" s="10" t="inlineStr">
        <is>
          <t>Dividend yield</t>
        </is>
      </c>
      <c r="C13" s="11" t="inlineStr">
        <is>
          <t>1.2%</t>
        </is>
      </c>
      <c r="D13" s="10" t="inlineStr">
        <is>
          <t>Illustrative blended estimate</t>
        </is>
      </c>
      <c r="E13" s="12" t="inlineStr">
        <is>
          <t>Options are priced on a carry-adjusted underlying (S*e^-qT) -- ignoring dividends would overprice calls and underprice puts.</t>
        </is>
      </c>
    </row>
    <row r="14" ht="42" customHeight="1">
      <c r="A14" s="10" t="inlineStr">
        <is>
          <t>Protection sleeve</t>
        </is>
      </c>
      <c r="B14" s="10" t="inlineStr">
        <is>
          <t>Collar tenor</t>
        </is>
      </c>
      <c r="C14" s="11" t="inlineStr">
        <is>
          <t>60 days</t>
        </is>
      </c>
      <c r="D14" s="10" t="inlineStr">
        <is>
          <t>Desk design choice</t>
        </is>
      </c>
      <c r="E14" s="12" t="inlineStr">
        <is>
          <t>~2 months lines up with the known event calendar (Budget/RBI/earnings) without excessive re-strike frequency/cost.</t>
        </is>
      </c>
    </row>
    <row r="15" ht="42" customHeight="1">
      <c r="A15" s="10" t="inlineStr">
        <is>
          <t>Protection sleeve</t>
        </is>
      </c>
      <c r="B15" s="10" t="inlineStr">
        <is>
          <t>Protection floor</t>
        </is>
      </c>
      <c r="C15" s="11" t="inlineStr">
        <is>
          <t>12%</t>
        </is>
      </c>
      <c r="D15" s="10" t="inlineStr">
        <is>
          <t>Institutional-grade spec</t>
        </is>
      </c>
      <c r="E15" s="12" t="inlineStr">
        <is>
          <t>The minimum guaranteed downside protection per name -- fixes the put strike; everything else (call strike) is solved to fund it.</t>
        </is>
      </c>
    </row>
    <row r="16" ht="42" customHeight="1">
      <c r="A16" s="10" t="inlineStr">
        <is>
          <t>Income sleeve</t>
        </is>
      </c>
      <c r="B16" s="10" t="inlineStr">
        <is>
          <t>Call tenor</t>
        </is>
      </c>
      <c r="C16" s="11" t="inlineStr">
        <is>
          <t>182 days</t>
        </is>
      </c>
      <c r="D16" s="10" t="inlineStr">
        <is>
          <t>Desk design choice, tested against alternatives</t>
        </is>
      </c>
      <c r="E16" s="12" t="inlineStr">
        <is>
          <t>Semi-annual (2 rolls/yr) chosen over monthly/quarterly specifically because it caps upside far less often -- see sheet 5 for the rejected alternatives.</t>
        </is>
      </c>
    </row>
    <row r="17" ht="42" customHeight="1">
      <c r="A17" s="10" t="inlineStr">
        <is>
          <t>Income sleeve</t>
        </is>
      </c>
      <c r="B17" s="10" t="inlineStr">
        <is>
          <t>Call OTM %</t>
        </is>
      </c>
      <c r="C17" s="11" t="inlineStr">
        <is>
          <t>15%</t>
        </is>
      </c>
      <c r="D17" s="10" t="inlineStr">
        <is>
          <t>Desk design choice, tested against alternatives</t>
        </is>
      </c>
      <c r="E17" s="12" t="inlineStr">
        <is>
          <t>15% OTM is wide enough that the client's upside is rarely capped -- a tighter 6%/9% OTM design was modeled and rejected for capping upside too often.</t>
        </is>
      </c>
    </row>
    <row r="18" ht="42" customHeight="1">
      <c r="A18" s="10" t="inlineStr">
        <is>
          <t>Frictions</t>
        </is>
      </c>
      <c r="B18" s="10" t="inlineStr">
        <is>
          <t>STT (sell side)</t>
        </is>
      </c>
      <c r="C18" s="11" t="inlineStr">
        <is>
          <t>0.0625% of premium</t>
        </is>
      </c>
      <c r="D18" s="10" t="inlineStr">
        <is>
          <t>NSE F&amp;O STT schedule (illustrative rate)</t>
        </is>
      </c>
      <c r="E18" s="12" t="inlineStr">
        <is>
          <t>Real, unavoidable transaction tax on every option sold -- charged on the short leg of every collar and every covered call.</t>
        </is>
      </c>
    </row>
    <row r="19" ht="42" customHeight="1">
      <c r="A19" s="10" t="inlineStr">
        <is>
          <t>Frictions</t>
        </is>
      </c>
      <c r="B19" s="10" t="inlineStr">
        <is>
          <t>Single-stock option slippage</t>
        </is>
      </c>
      <c r="C19" s="11" t="inlineStr">
        <is>
          <t>40-80 bps</t>
        </is>
      </c>
      <c r="D19" s="10" t="inlineStr">
        <is>
          <t>Observed NSE spreads (illustrative)</t>
        </is>
      </c>
      <c r="E19" s="12" t="inlineStr">
        <is>
          <t>Wider than index options because open interest outside the top ~150 names is much thinner.</t>
        </is>
      </c>
    </row>
    <row r="20" ht="42" customHeight="1">
      <c r="A20" s="10" t="inlineStr">
        <is>
          <t>Frictions</t>
        </is>
      </c>
      <c r="B20" s="10" t="inlineStr">
        <is>
          <t>Index option slippage</t>
        </is>
      </c>
      <c r="C20" s="11" t="inlineStr">
        <is>
          <t>15-25 bps</t>
        </is>
      </c>
      <c r="D20" s="10" t="inlineStr">
        <is>
          <t>Observed NSE spreads (illustrative)</t>
        </is>
      </c>
      <c r="E20" s="12" t="inlineStr">
        <is>
          <t>Used for the income-sleeve large-caps, which trade far deeper order books than the concentration sleeve.</t>
        </is>
      </c>
    </row>
    <row r="21" ht="42" customHeight="1">
      <c r="A21" s="10" t="inlineStr">
        <is>
          <t>Frictions</t>
        </is>
      </c>
      <c r="B21" s="10" t="inlineStr">
        <is>
          <t>Monthly rollover drag</t>
        </is>
      </c>
      <c r="C21" s="11" t="inlineStr">
        <is>
          <t>8-12 bps</t>
        </is>
      </c>
      <c r="D21" s="10" t="inlineStr">
        <is>
          <t>Calendar-spread cost estimate (illustrative)</t>
        </is>
      </c>
      <c r="E21" s="12" t="inlineStr">
        <is>
          <t>Every re-strike/roll bleeds a small theta/roll-yield cost even at a fair mid-price fill.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2:C43"/>
  <sheetViews>
    <sheetView workbookViewId="0">
      <selection activeCell="A1" sqref="A1"/>
    </sheetView>
  </sheetViews>
  <sheetFormatPr baseColWidth="8" defaultRowHeight="15"/>
  <cols>
    <col width="3" customWidth="1" min="1" max="1"/>
    <col width="32" customWidth="1" min="2" max="2"/>
    <col width="30" customWidth="1" min="3" max="3"/>
    <col width="60" customWidth="1" min="4" max="4"/>
  </cols>
  <sheetData>
    <row r="2">
      <c r="B2" s="1" t="inlineStr">
        <is>
          <t>Protective Put / Collar — Full Worked Example (SRF)</t>
        </is>
      </c>
    </row>
    <row r="3">
      <c r="B3" s="2" t="inlineStr">
        <is>
          <t>SRF is the largest single position in the concentration sleeve (11.0% of AUM) -- walked through end to end.</t>
        </is>
      </c>
    </row>
    <row r="5">
      <c r="A5" s="9" t="inlineStr">
        <is>
          <t>Step</t>
        </is>
      </c>
      <c r="B5" s="9" t="inlineStr">
        <is>
          <t>Value / Formula</t>
        </is>
      </c>
      <c r="C5" s="9" t="inlineStr">
        <is>
          <t>Reason</t>
        </is>
      </c>
    </row>
    <row r="6">
      <c r="A6" s="13" t="inlineStr">
        <is>
          <t>STEP 1 -- Starting data (from QuantsApp Pro+)</t>
        </is>
      </c>
      <c r="B6" s="10" t="n"/>
      <c r="C6" s="10" t="n"/>
    </row>
    <row r="7" ht="28" customHeight="1">
      <c r="A7" s="10" t="inlineStr">
        <is>
          <t>Spot price (S)</t>
        </is>
      </c>
      <c r="B7" s="14" t="n">
        <v>2869.8</v>
      </c>
      <c r="C7" s="12" t="inlineStr">
        <is>
          <t>Live spot/future price for SRF on QuantsApp Pro+ Option Chain, 17-Jul-2026 close.</t>
        </is>
      </c>
    </row>
    <row r="8" ht="42" customHeight="1">
      <c r="A8" s="10" t="inlineStr">
        <is>
          <t>Implied volatility (IV)</t>
        </is>
      </c>
      <c r="B8" s="15" t="n">
        <v>0.3344</v>
      </c>
      <c r="C8" s="12" t="inlineStr">
        <is>
          <t>ATM straddle-implied IV read directly from QuantsApp Pro+ (Price view). This is the market's own forecast of future volatility -- the single biggest driver of option premium.</t>
        </is>
      </c>
    </row>
    <row r="9" ht="42" customHeight="1">
      <c r="A9" s="10" t="inlineStr">
        <is>
          <t>Tenor (days)</t>
        </is>
      </c>
      <c r="B9" s="16" t="n">
        <v>60</v>
      </c>
      <c r="C9" s="12" t="inlineStr">
        <is>
          <t>60 days: long enough to cover a typical event window (Budget/RBI/earnings) without needing constant re-striking, short enough to keep the floor accurate to current price.</t>
        </is>
      </c>
    </row>
    <row r="10" ht="28" customHeight="1">
      <c r="A10" s="10" t="inlineStr">
        <is>
          <t>Time to expiry, T (years)</t>
        </is>
      </c>
      <c r="B10" s="17">
        <f>B8/365</f>
        <v/>
      </c>
      <c r="C10" s="12" t="inlineStr">
        <is>
          <t>Black-Scholes needs T in years, not days.</t>
        </is>
      </c>
    </row>
    <row r="11" ht="28" customHeight="1">
      <c r="A11" s="10" t="inlineStr">
        <is>
          <t>Risk-free rate (r)</t>
        </is>
      </c>
      <c r="B11" s="15" t="n">
        <v>0.068</v>
      </c>
      <c r="C11" s="12" t="inlineStr">
        <is>
          <t>Illustrative INR risk-free/repo-anchored rate -- discounts the strike in both the call and put formulas.</t>
        </is>
      </c>
    </row>
    <row r="12" ht="42" customHeight="1">
      <c r="A12" s="10" t="inlineStr">
        <is>
          <t>Dividend/carry yield (q)</t>
        </is>
      </c>
      <c r="B12" s="15" t="n">
        <v>0.012</v>
      </c>
      <c r="C12" s="12" t="inlineStr">
        <is>
          <t>Illustrative blended dividend yield -- the underlying is treated as if it grows at (r-q), not r, because dividends leak value out of the stock before expiry.</t>
        </is>
      </c>
    </row>
    <row r="13">
      <c r="A13" s="10" t="n"/>
      <c r="B13" s="10" t="n"/>
      <c r="C13" s="10" t="n"/>
    </row>
    <row r="14">
      <c r="A14" s="13" t="inlineStr">
        <is>
          <t>STEP 2 -- Fix the put strike from the protection floor</t>
        </is>
      </c>
      <c r="B14" s="10" t="n"/>
      <c r="C14" s="10" t="n"/>
    </row>
    <row r="15" ht="42" customHeight="1">
      <c r="A15" s="10" t="inlineStr">
        <is>
          <t>Protection floor</t>
        </is>
      </c>
      <c r="B15" s="18" t="n">
        <v>0.12</v>
      </c>
      <c r="C15" s="12" t="inlineStr">
        <is>
          <t>Institutional-grade spec: the client must never lose more than this % on a hedged name before the floor engages, no matter how large the drawdown.</t>
        </is>
      </c>
    </row>
    <row r="16" ht="42" customHeight="1">
      <c r="A16" s="10" t="inlineStr">
        <is>
          <t>Put strike = S x (1 - floor)</t>
        </is>
      </c>
      <c r="B16" s="19">
        <f>2869.8*(1-0.12)</f>
        <v/>
      </c>
      <c r="C16" s="12" t="inlineStr">
        <is>
          <t>This is a DESIGN CHOICE, not a market price: the floor is decided first (client protection requirement), and the put strike is simply placed there. Nothing is solved yet.</t>
        </is>
      </c>
    </row>
    <row r="17">
      <c r="A17" s="10" t="n"/>
      <c r="B17" s="10" t="n"/>
      <c r="C17" s="10" t="n"/>
    </row>
    <row r="18">
      <c r="A18" s="13" t="inlineStr">
        <is>
          <t>STEP 3 -- Price the put leg (Black-Scholes-Merton)</t>
        </is>
      </c>
      <c r="B18" s="10" t="n"/>
      <c r="C18" s="10" t="n"/>
    </row>
    <row r="19" ht="42" customHeight="1">
      <c r="A19" s="10" t="inlineStr">
        <is>
          <t>d1 (put)</t>
        </is>
      </c>
      <c r="B19" s="17">
        <f>(LN(2869.8/2525.4)+(0.068-0.012+0.5*0.3344^2)*(60/365))/(0.3344*SQRT(60/365))</f>
        <v/>
      </c>
      <c r="C19" s="12" t="inlineStr">
        <is>
          <t>d1 measures (in standard-deviation units) how far in/out of the money the strike is, adjusted for drift and time -- the core building block of the BS formula.</t>
        </is>
      </c>
    </row>
    <row r="20" ht="42" customHeight="1">
      <c r="A20" s="10" t="inlineStr">
        <is>
          <t>d2 (put)</t>
        </is>
      </c>
      <c r="B20" s="17">
        <f>d1 - IV*SQRT(T)</f>
        <v/>
      </c>
      <c r="C20" s="12" t="inlineStr">
        <is>
          <t>d2 is d1 shifted by one volatility-time unit -- it's the risk-neutral probability driver for the strike being exceeded at expiry.</t>
        </is>
      </c>
    </row>
    <row r="21" ht="42" customHeight="1">
      <c r="A21" s="10" t="inlineStr">
        <is>
          <t>Put premium (Rs)</t>
        </is>
      </c>
      <c r="B21" s="20" t="n">
        <v>29.55</v>
      </c>
      <c r="C21" s="12" t="inlineStr">
        <is>
          <t>Rs 29.55 per share = K*e^(-rT)*N(-d2) - S*e^(-qT)*N(-d1) -- the standard BS put formula. This is the cost of guaranteeing the 12% floor.</t>
        </is>
      </c>
    </row>
    <row r="22">
      <c r="A22" s="10" t="n"/>
      <c r="B22" s="10" t="n"/>
      <c r="C22" s="10" t="n"/>
    </row>
    <row r="23">
      <c r="A23" s="13" t="inlineStr">
        <is>
          <t>STEP 4 -- Solve the call strike to fund the put (zero-cost collar)</t>
        </is>
      </c>
      <c r="B23" s="10" t="n"/>
      <c r="C23" s="10" t="n"/>
    </row>
    <row r="24" ht="28" customHeight="1">
      <c r="A24" s="10" t="inlineStr">
        <is>
          <t>Why sell a call at all?</t>
        </is>
      </c>
      <c r="B24" s="10" t="inlineStr">
        <is>
          <t>(narrative)</t>
        </is>
      </c>
      <c r="C24" s="12" t="inlineStr">
        <is>
          <t>@</t>
        </is>
      </c>
    </row>
    <row r="25" ht="56" customHeight="1">
      <c r="A25" s="10" t="inlineStr">
        <is>
          <t>Root-find target</t>
        </is>
      </c>
      <c r="B25" s="21" t="inlineStr">
        <is>
          <t>Call premium = Put premium</t>
        </is>
      </c>
      <c r="C25" s="12" t="inlineStr">
        <is>
          <t>There's no closed-form formula for 'what call strike makes the premium exactly match the put premium' -- Black-Scholes is not analytically invertible for strike. This has to be solved numerically.</t>
        </is>
      </c>
    </row>
    <row r="26" ht="70" customHeight="1">
      <c r="A26" s="10" t="inlineStr">
        <is>
          <t>Method used</t>
        </is>
      </c>
      <c r="B26" s="21" t="inlineStr">
        <is>
          <t>scipy.optimize.brentq</t>
        </is>
      </c>
      <c r="C26" s="12" t="inlineStr">
        <is>
          <t>Brent's method: a bracketed root-finder that's guaranteed to converge for a continuous, single-crossing function like this one (call premium is monotonically decreasing in strike) -- reliable and fast (src/bs_engine.py::solve_zero_cost_collar_call_strike).</t>
        </is>
      </c>
    </row>
    <row r="27" ht="28" customHeight="1">
      <c r="A27" s="10" t="inlineStr">
        <is>
          <t>Solved call strike</t>
        </is>
      </c>
      <c r="B27" s="20" t="n">
        <v>3354.9</v>
      </c>
      <c r="C27" s="12" t="inlineStr">
        <is>
          <t>The strike at which a 60-day call's premium exactly equals the put premium above, found by the root-finder.</t>
        </is>
      </c>
    </row>
    <row r="28" ht="28" customHeight="1">
      <c r="A28" s="10" t="inlineStr">
        <is>
          <t>Call premium (Rs)</t>
        </is>
      </c>
      <c r="B28" s="20" t="n">
        <v>29.55</v>
      </c>
      <c r="C28" s="12" t="inlineStr">
        <is>
          <t>By construction, equals the put premium (to strike-grid precision) -- confirms the zero-cost solve worked.</t>
        </is>
      </c>
    </row>
    <row r="29">
      <c r="A29" s="10" t="n"/>
      <c r="B29" s="10" t="n"/>
      <c r="C29" s="10" t="n"/>
    </row>
    <row r="30">
      <c r="A30" s="13" t="inlineStr">
        <is>
          <t>STEP 5 -- Net premium and position Greeks</t>
        </is>
      </c>
      <c r="B30" s="10" t="n"/>
      <c r="C30" s="10" t="n"/>
    </row>
    <row r="31" ht="28" customHeight="1">
      <c r="A31" s="10" t="inlineStr">
        <is>
          <t>Net premium (Rs)</t>
        </is>
      </c>
      <c r="B31" s="19">
        <f>call_premium - put_premium</f>
        <v/>
      </c>
      <c r="C31" s="12" t="inlineStr">
        <is>
          <t>Should sit at/near zero -- that's the entire point of a zero-cost collar design.</t>
        </is>
      </c>
    </row>
    <row r="32" ht="42" customHeight="1">
      <c r="A32" s="10" t="inlineStr">
        <is>
          <t>Net delta (long put - short call)</t>
        </is>
      </c>
      <c r="B32" s="22" t="n">
        <v>-0.2946</v>
      </c>
      <c r="C32" s="12" t="inlineStr">
        <is>
          <t>Negative net delta means the position GAINS value as the stock falls below the floor -- this is what makes it a genuine hedge, not just a cost.</t>
        </is>
      </c>
    </row>
    <row r="33">
      <c r="A33" s="10" t="n"/>
      <c r="B33" s="10" t="n"/>
      <c r="C33" s="10" t="n"/>
    </row>
    <row r="34">
      <c r="A34" s="13" t="inlineStr">
        <is>
          <t>STEP 6 -- Add real Indian-market frictions</t>
        </is>
      </c>
      <c r="B34" s="10" t="n"/>
      <c r="C34" s="10" t="n"/>
    </row>
    <row r="35" ht="42" customHeight="1">
      <c r="A35" s="10" t="inlineStr">
        <is>
          <t>Bid-ask slippage (both legs)</t>
        </is>
      </c>
      <c r="B35" s="16" t="inlineStr">
        <is>
          <t>60 bps of gross premium</t>
        </is>
      </c>
      <c r="C35" s="12" t="inlineStr">
        <is>
          <t>SRF is F&amp;O-eligible but not a top-50 name by option ADV -- wider single-stock slippage applies (vs. tighter index-option spreads used for the income sleeve).</t>
        </is>
      </c>
    </row>
    <row r="36" ht="28" customHeight="1">
      <c r="A36" s="10" t="inlineStr">
        <is>
          <t>STT (short call leg only)</t>
        </is>
      </c>
      <c r="B36" s="23" t="inlineStr">
        <is>
          <t>0.0625% of call premium</t>
        </is>
      </c>
      <c r="C36" s="12" t="inlineStr">
        <is>
          <t>Securities Transaction Tax applies to the SELL side of every option trade -- the short call leg here, not the long put.</t>
        </is>
      </c>
    </row>
    <row r="37" ht="28" customHeight="1">
      <c r="A37" s="10" t="inlineStr">
        <is>
          <t>Rollover drag (per roll)</t>
        </is>
      </c>
      <c r="B37" s="16" t="inlineStr">
        <is>
          <t>10 bps</t>
        </is>
      </c>
      <c r="C37" s="12" t="inlineStr">
        <is>
          <t>Even a fair-price roll bleeds a small theta/timing cost -- captured as a flat per-roll drag.</t>
        </is>
      </c>
    </row>
    <row r="38">
      <c r="A38" s="10" t="n"/>
      <c r="B38" s="10" t="n"/>
      <c r="C38" s="10" t="n"/>
    </row>
    <row r="39">
      <c r="A39" s="13" t="inlineStr">
        <is>
          <t>STEP 7 -- Annualize and weight into the total program</t>
        </is>
      </c>
      <c r="B39" s="10" t="n"/>
      <c r="C39" s="10" t="n"/>
    </row>
    <row r="40" ht="28" customHeight="1">
      <c r="A40" s="10" t="inlineStr">
        <is>
          <t>Rolls per year</t>
        </is>
      </c>
      <c r="B40" s="19">
        <f>365/60</f>
        <v/>
      </c>
      <c r="C40" s="12" t="inlineStr">
        <is>
          <t>A 60-day collar has to be re-struck about 6 times a year -- each roll repeats the friction costs above.</t>
        </is>
      </c>
    </row>
    <row r="41" ht="56" customHeight="1">
      <c r="A41" s="10" t="inlineStr">
        <is>
          <t>Position weight in AUM</t>
        </is>
      </c>
      <c r="B41" s="15" t="inlineStr">
        <is>
          <t>11.0%</t>
        </is>
      </c>
      <c r="C41" s="12" t="inlineStr">
        <is>
          <t>SRF's actual concentration in the mandate -- the cost figure below is expressed as a share of TOTAL AUM, not just this position, so it can be added across all 4 names on an apples-to-apples basis.</t>
        </is>
      </c>
    </row>
    <row r="42" ht="56" customHeight="1">
      <c r="A42" s="10" t="inlineStr">
        <is>
          <t>Annual cost (bps of TOTAL AUM)</t>
        </is>
      </c>
      <c r="B42" s="20" t="n">
        <v>7.56</v>
      </c>
      <c r="C42" s="12">
        <f> [(-net premium % + slippage cost % + STT cost % + roll drag %) x rolls/yr] x weight x 10,000. This is the final number that rolls into the program-level budget check on sheet 11.</f>
        <v/>
      </c>
    </row>
    <row r="43">
      <c r="A43" s="10" t="n"/>
      <c r="B43" s="10" t="n"/>
      <c r="C43" s="10"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J16"/>
  <sheetViews>
    <sheetView workbookViewId="0">
      <selection activeCell="A1" sqref="A1"/>
    </sheetView>
  </sheetViews>
  <sheetFormatPr baseColWidth="8" defaultRowHeight="15"/>
  <cols>
    <col width="3" customWidth="1" min="1" max="1"/>
    <col width="13" customWidth="1" min="2" max="2"/>
    <col width="11" customWidth="1" min="3" max="3"/>
    <col width="10" customWidth="1" min="4" max="4"/>
    <col width="12" customWidth="1" min="5" max="5"/>
    <col width="12" customWidth="1" min="6" max="6"/>
    <col width="10" customWidth="1" min="7" max="7"/>
    <col width="10" customWidth="1" min="8" max="8"/>
    <col width="10" customWidth="1" min="9" max="9"/>
    <col width="18" customWidth="1" min="10" max="10"/>
  </cols>
  <sheetData>
    <row r="2">
      <c r="B2" s="1" t="inlineStr">
        <is>
          <t>Protective Put / Collar Sleeve — All 4 Names</t>
        </is>
      </c>
    </row>
    <row r="3">
      <c r="B3" s="2" t="inlineStr">
        <is>
          <t>Same calculation as sheet 2, applied to every concentration-sleeve name. See column notes below for what each column means and why.</t>
        </is>
      </c>
    </row>
    <row r="5" ht="28" customHeight="1">
      <c r="B5" s="3" t="inlineStr">
        <is>
          <t>Ticker / Weight</t>
        </is>
      </c>
      <c r="C5" s="24" t="inlineStr">
        <is>
          <t>The name and its % of total AUM -- higher-weight names contribute more to the final bps-of-AUM cost even at similar per-share pricing.</t>
        </is>
      </c>
    </row>
    <row r="6" ht="28" customHeight="1">
      <c r="B6" s="3" t="inlineStr">
        <is>
          <t>Spot / IV</t>
        </is>
      </c>
      <c r="C6" s="24" t="inlineStr">
        <is>
          <t>Live QuantsApp Pro+ data. Note how IV varies widely (28%-58%) -- Kalyan Jewellers is genuinely the most volatile/event-driven name right now.</t>
        </is>
      </c>
    </row>
    <row r="7" ht="28" customHeight="1">
      <c r="B7" s="3" t="inlineStr">
        <is>
          <t>Put / Call Strike</t>
        </is>
      </c>
      <c r="C7" s="24" t="inlineStr">
        <is>
          <t>Put fixed by the 12% floor rule; call strike solved (scipy.optimize.brentq) to match its premium to the put's.</t>
        </is>
      </c>
    </row>
    <row r="8" ht="28" customHeight="1">
      <c r="B8" s="3" t="inlineStr">
        <is>
          <t>Net Delta</t>
        </is>
      </c>
      <c r="C8" s="24" t="inlineStr">
        <is>
          <t>Should be negative for all 4 -- confirms every position is a genuine downside hedge, not a directional bet.</t>
        </is>
      </c>
    </row>
    <row r="9" ht="28" customHeight="1">
      <c r="B9" s="3" t="inlineStr">
        <is>
          <t>Annual Cost (bps of AUM)</t>
        </is>
      </c>
      <c r="C9" s="24" t="inlineStr">
        <is>
          <t>The bottom-line number: what this name's hedge costs the WHOLE portfolio per year, after every friction. Sum of this column = the sleeve's total gross cost.</t>
        </is>
      </c>
    </row>
    <row r="11">
      <c r="A11" s="9" t="inlineStr">
        <is>
          <t>Ticker</t>
        </is>
      </c>
      <c r="B11" s="9" t="inlineStr">
        <is>
          <t>Weight %</t>
        </is>
      </c>
      <c r="C11" s="9" t="inlineStr">
        <is>
          <t>Spot</t>
        </is>
      </c>
      <c r="D11" s="9" t="inlineStr">
        <is>
          <t>IV</t>
        </is>
      </c>
      <c r="E11" s="9" t="inlineStr">
        <is>
          <t>Put Strike</t>
        </is>
      </c>
      <c r="F11" s="9" t="inlineStr">
        <is>
          <t>Call Strike</t>
        </is>
      </c>
      <c r="G11" s="9" t="inlineStr">
        <is>
          <t>Put Prem</t>
        </is>
      </c>
      <c r="H11" s="9" t="inlineStr">
        <is>
          <t>Call Prem</t>
        </is>
      </c>
      <c r="I11" s="9" t="inlineStr">
        <is>
          <t>Net Delta</t>
        </is>
      </c>
      <c r="J11" s="9" t="inlineStr">
        <is>
          <t>Annual Cost (bps AUM)</t>
        </is>
      </c>
    </row>
    <row r="12">
      <c r="A12" s="10" t="inlineStr">
        <is>
          <t>SRF</t>
        </is>
      </c>
      <c r="B12" s="15" t="n">
        <v>0.11</v>
      </c>
      <c r="C12" s="11" t="n">
        <v>2869.8</v>
      </c>
      <c r="D12" s="15" t="n">
        <v>0.3344</v>
      </c>
      <c r="E12" s="10" t="n">
        <v>2525.4</v>
      </c>
      <c r="F12" s="10" t="n">
        <v>3354.9</v>
      </c>
      <c r="G12" s="10" t="n">
        <v>29.55</v>
      </c>
      <c r="H12" s="10" t="n">
        <v>29.55</v>
      </c>
      <c r="I12" s="10" t="n">
        <v>-0.2946</v>
      </c>
      <c r="J12" s="25" t="n">
        <v>7.56</v>
      </c>
    </row>
    <row r="13">
      <c r="A13" s="10" t="inlineStr">
        <is>
          <t>BHARATFORG</t>
        </is>
      </c>
      <c r="B13" s="15" t="n">
        <v>0.095</v>
      </c>
      <c r="C13" s="11" t="n">
        <v>2197.5</v>
      </c>
      <c r="D13" s="15" t="n">
        <v>0.2898</v>
      </c>
      <c r="E13" s="10" t="n">
        <v>1933.8</v>
      </c>
      <c r="F13" s="10" t="n">
        <v>2564.2</v>
      </c>
      <c r="G13" s="10" t="n">
        <v>14.44</v>
      </c>
      <c r="H13" s="10" t="n">
        <v>14.44</v>
      </c>
      <c r="I13" s="10" t="n">
        <v>-0.2296</v>
      </c>
      <c r="J13" s="25" t="n">
        <v>6.26</v>
      </c>
    </row>
    <row r="14">
      <c r="A14" s="10" t="inlineStr">
        <is>
          <t>KALYANKJIL</t>
        </is>
      </c>
      <c r="B14" s="15" t="n">
        <v>0.09</v>
      </c>
      <c r="C14" s="11" t="n">
        <v>573.75</v>
      </c>
      <c r="D14" s="15" t="n">
        <v>0.5823</v>
      </c>
      <c r="E14" s="10" t="n">
        <v>504.9</v>
      </c>
      <c r="F14" s="10" t="n">
        <v>678.3</v>
      </c>
      <c r="G14" s="10" t="n">
        <v>21.9</v>
      </c>
      <c r="H14" s="10" t="n">
        <v>21.9</v>
      </c>
      <c r="I14" s="10" t="n">
        <v>-0.5318000000000001</v>
      </c>
      <c r="J14" s="25" t="n">
        <v>8.109999999999999</v>
      </c>
    </row>
    <row r="15">
      <c r="A15" s="10" t="inlineStr">
        <is>
          <t>POLYCAB</t>
        </is>
      </c>
      <c r="B15" s="15" t="n">
        <v>0.08500000000000001</v>
      </c>
      <c r="C15" s="11" t="n">
        <v>8862.5</v>
      </c>
      <c r="D15" s="15" t="n">
        <v>0.2802</v>
      </c>
      <c r="E15" s="10" t="n">
        <v>7799</v>
      </c>
      <c r="F15" s="10" t="n">
        <v>10337.3</v>
      </c>
      <c r="G15" s="10" t="n">
        <v>51.91</v>
      </c>
      <c r="H15" s="10" t="n">
        <v>51.91</v>
      </c>
      <c r="I15" s="10" t="n">
        <v>-0.2146</v>
      </c>
      <c r="J15" s="25" t="n">
        <v>5.55</v>
      </c>
    </row>
    <row r="16">
      <c r="A16" s="3" t="inlineStr">
        <is>
          <t>TOTAL</t>
        </is>
      </c>
      <c r="B16" s="26">
        <f>SUM(B12:B15)</f>
        <v/>
      </c>
      <c r="J16" s="27">
        <f>SUM(J12:J15)</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2:C31"/>
  <sheetViews>
    <sheetView workbookViewId="0">
      <selection activeCell="A1" sqref="A1"/>
    </sheetView>
  </sheetViews>
  <sheetFormatPr baseColWidth="8" defaultRowHeight="15"/>
  <cols>
    <col width="3" customWidth="1" min="1" max="1"/>
    <col width="32" customWidth="1" min="2" max="2"/>
    <col width="32" customWidth="1" min="3" max="3"/>
    <col width="60" customWidth="1" min="4" max="4"/>
  </cols>
  <sheetData>
    <row r="2">
      <c r="B2" s="1" t="inlineStr">
        <is>
          <t>Covered Call — Full Worked Example (Infosys)</t>
        </is>
      </c>
    </row>
    <row r="3">
      <c r="B3" s="2" t="inlineStr">
        <is>
          <t>Infosys generates the richest income of the 6 income-sleeve names (51.7 bps/yr) -- walked through end to end.</t>
        </is>
      </c>
    </row>
    <row r="5">
      <c r="A5" s="9" t="inlineStr">
        <is>
          <t>Step</t>
        </is>
      </c>
      <c r="B5" s="9" t="inlineStr">
        <is>
          <t>Value / Formula</t>
        </is>
      </c>
      <c r="C5" s="9" t="inlineStr">
        <is>
          <t>Reason</t>
        </is>
      </c>
    </row>
    <row r="6">
      <c r="A6" s="13" t="inlineStr">
        <is>
          <t>STEP 1 -- Starting data</t>
        </is>
      </c>
      <c r="B6" s="10" t="n"/>
      <c r="C6" s="10" t="n"/>
    </row>
    <row r="7" ht="28" customHeight="1">
      <c r="A7" s="10" t="inlineStr">
        <is>
          <t>Spot price (S)</t>
        </is>
      </c>
      <c r="B7" s="14" t="n">
        <v>1090</v>
      </c>
      <c r="C7" s="12" t="inlineStr">
        <is>
          <t>Live spot from QuantsApp Pro+, 17-Jul-2026 close.</t>
        </is>
      </c>
    </row>
    <row r="8" ht="56" customHeight="1">
      <c r="A8" s="10" t="inlineStr">
        <is>
          <t>Implied volatility (IV)</t>
        </is>
      </c>
      <c r="B8" s="15" t="n">
        <v>0.3372</v>
      </c>
      <c r="C8" s="12" t="inlineStr">
        <is>
          <t>Infosys's IV (33.7%) is unusually high for a 'stable, low-conviction' large-cap right now -- this is exactly why its call premium, and therefore its income, comes out richest of the 6.</t>
        </is>
      </c>
    </row>
    <row r="9" ht="42" customHeight="1">
      <c r="A9" s="10" t="inlineStr">
        <is>
          <t>Tenor</t>
        </is>
      </c>
      <c r="B9" s="16" t="inlineStr">
        <is>
          <t>182 days (semi-annual)</t>
        </is>
      </c>
      <c r="C9" s="12" t="inlineStr">
        <is>
          <t>Deliberately infrequent: fewer rolls per year means fewer chances the stock is trading above the strike and gets called away, i.e. less frequent upside-capping.</t>
        </is>
      </c>
    </row>
    <row r="10">
      <c r="A10" s="10" t="n"/>
      <c r="B10" s="10" t="n"/>
      <c r="C10" s="10" t="n"/>
    </row>
    <row r="11">
      <c r="A11" s="13" t="inlineStr">
        <is>
          <t>STEP 2 -- Why 15% OTM and not tighter (the rejected alternatives)</t>
        </is>
      </c>
      <c r="B11" s="10" t="n"/>
      <c r="C11" s="10" t="n"/>
    </row>
    <row r="12" ht="28" customHeight="1">
      <c r="A12" s="10" t="inlineStr">
        <is>
          <t>Objective being solved for</t>
        </is>
      </c>
      <c r="B12" s="21" t="inlineStr">
        <is>
          <t>"Modest yield, don't cap upside materially"</t>
        </is>
      </c>
      <c r="C12" s="12" t="inlineStr">
        <is>
          <t>This is the client's stated objective -- it constrains the design, not just the pricing.</t>
        </is>
      </c>
    </row>
    <row r="13" ht="42" customHeight="1">
      <c r="A13" s="10" t="inlineStr">
        <is>
          <t>Rejected: Monthly, 6% OTM</t>
        </is>
      </c>
      <c r="B13" s="21" t="inlineStr">
        <is>
          <t>~200 bps/yr modeled income</t>
        </is>
      </c>
      <c r="C13" s="12" t="inlineStr">
        <is>
          <t>REJECTED: priced richer income, but caps upside on every single position every month -- directly violates the stated objective.</t>
        </is>
      </c>
    </row>
    <row r="14" ht="42" customHeight="1">
      <c r="A14" s="10" t="inlineStr">
        <is>
          <t>Rejected: Quarterly, 9% OTM</t>
        </is>
      </c>
      <c r="B14" s="21" t="inlineStr">
        <is>
          <t>~170 bps/yr modeled income</t>
        </is>
      </c>
      <c r="C14" s="12" t="inlineStr">
        <is>
          <t>REJECTED: still caps upside 4x/year -- better than monthly but still too frequent for a client who explicitly does not want upside capped.</t>
        </is>
      </c>
    </row>
    <row r="15" ht="56" customHeight="1">
      <c r="A15" s="10" t="inlineStr">
        <is>
          <t>Chosen: Semi-annual, 15% OTM</t>
        </is>
      </c>
      <c r="B15" s="28" t="inlineStr">
        <is>
          <t>15% OTM, 2 rolls/yr</t>
        </is>
      </c>
      <c r="C15" s="12" t="inlineStr">
        <is>
          <t>CHOSEN: caps upside only if the stock rallies &gt;15% in a 6-month window AND only twice a year -- the design that actually satisfies the objective, even though the ANNUAL income number alone looks smaller per roll.</t>
        </is>
      </c>
    </row>
    <row r="16">
      <c r="A16" s="10" t="n"/>
      <c r="B16" s="10" t="n"/>
      <c r="C16" s="10" t="n"/>
    </row>
    <row r="17">
      <c r="A17" s="13" t="inlineStr">
        <is>
          <t>STEP 3 -- Price the call leg (Black-Scholes-Merton)</t>
        </is>
      </c>
      <c r="B17" s="10" t="n"/>
      <c r="C17" s="10" t="n"/>
    </row>
    <row r="18" ht="56" customHeight="1">
      <c r="A18" s="10" t="inlineStr">
        <is>
          <t>Call strike = S x (1+OTM%)</t>
        </is>
      </c>
      <c r="B18" s="19">
        <f>1090.0*(1+0.15)</f>
        <v/>
      </c>
      <c r="C18" s="12" t="inlineStr">
        <is>
          <t>Unlike the collar's put strike, this one is simple arithmetic -- no root-finding needed, since we're not solving for a zero-cost condition here (this leg stands alone, generating income, not funding another leg).</t>
        </is>
      </c>
    </row>
    <row r="19" ht="28" customHeight="1">
      <c r="A19" s="10" t="inlineStr">
        <is>
          <t>d1, d2</t>
        </is>
      </c>
      <c r="B19" s="21" t="inlineStr">
        <is>
          <t>(BS formula, as in sheet 2)</t>
        </is>
      </c>
      <c r="C19" s="12" t="inlineStr">
        <is>
          <t>Same Black-Scholes machinery as the put leg -- just the call-side formula.</t>
        </is>
      </c>
    </row>
    <row r="20" ht="42" customHeight="1">
      <c r="A20" s="10" t="inlineStr">
        <is>
          <t>Call premium (Rs)</t>
        </is>
      </c>
      <c r="B20" s="20" t="n">
        <v>56.36</v>
      </c>
      <c r="C20" s="12">
        <f> S*e^(-qT)*N(d1) - K*e^(-rT)*N(d2). At Rs 56.36/share on a spot of Rs 1090, that's a 5.17% premium yield for this 6-month window.</f>
        <v/>
      </c>
    </row>
    <row r="21">
      <c r="A21" s="10" t="n"/>
      <c r="B21" s="10" t="n"/>
      <c r="C21" s="10" t="n"/>
    </row>
    <row r="22">
      <c r="A22" s="13" t="inlineStr">
        <is>
          <t>STEP 4 -- Net income after frictions</t>
        </is>
      </c>
      <c r="B22" s="10" t="n"/>
      <c r="C22" s="10" t="n"/>
    </row>
    <row r="23" ht="56" customHeight="1">
      <c r="A23" s="10" t="inlineStr">
        <is>
          <t>Slippage (index-option grade)</t>
        </is>
      </c>
      <c r="B23" s="16" t="inlineStr">
        <is>
          <t>20 bps of premium</t>
        </is>
      </c>
      <c r="C23" s="12" t="inlineStr">
        <is>
          <t>Infosys is a top-~20 NSE name by option ADV -- deep liquidity means the TIGHTER index-option-grade slippage applies here, not the wider single-stock-grade slippage used in the collar sleeve.</t>
        </is>
      </c>
    </row>
    <row r="24" ht="28" customHeight="1">
      <c r="A24" s="10" t="inlineStr">
        <is>
          <t>STT (sell side)</t>
        </is>
      </c>
      <c r="B24" s="23" t="inlineStr">
        <is>
          <t>0.0625% of premium</t>
        </is>
      </c>
      <c r="C24" s="12" t="inlineStr">
        <is>
          <t>Applies because this call is being SOLD (written) -- same STT logic as the collar's short call leg.</t>
        </is>
      </c>
    </row>
    <row r="25" ht="28" customHeight="1">
      <c r="A25" s="10" t="inlineStr">
        <is>
          <t>Net income per roll</t>
        </is>
      </c>
      <c r="B25" s="29">
        <f>gross premium % x (1 - slippage - STT)</f>
        <v/>
      </c>
      <c r="C25" s="12" t="inlineStr">
        <is>
          <t>The premium actually collected in hand, after transaction costs, on the day the call is sold.</t>
        </is>
      </c>
    </row>
    <row r="26">
      <c r="A26" s="10" t="n"/>
      <c r="B26" s="10" t="n"/>
      <c r="C26" s="10" t="n"/>
    </row>
    <row r="27">
      <c r="A27" s="13" t="inlineStr">
        <is>
          <t>STEP 5 -- Annualize and weight into the total program</t>
        </is>
      </c>
      <c r="B27" s="10" t="n"/>
      <c r="C27" s="10" t="n"/>
    </row>
    <row r="28" ht="28" customHeight="1">
      <c r="A28" s="10" t="inlineStr">
        <is>
          <t>Rolls per year</t>
        </is>
      </c>
      <c r="B28" s="19">
        <f>365/182</f>
        <v/>
      </c>
      <c r="C28" s="12" t="inlineStr">
        <is>
          <t>Only 2 rolls/year at a 182-day tenor -- the deliberate trade-off vs. monthly/quarterly designs discussed above.</t>
        </is>
      </c>
    </row>
    <row r="29" ht="28" customHeight="1">
      <c r="A29" s="10" t="inlineStr">
        <is>
          <t>Position weight in AUM</t>
        </is>
      </c>
      <c r="B29" s="15" t="inlineStr">
        <is>
          <t>5.0%</t>
        </is>
      </c>
      <c r="C29" s="12" t="inlineStr">
        <is>
          <t>Infosys's actual weight in the income sleeve.</t>
        </is>
      </c>
    </row>
    <row r="30" ht="42" customHeight="1">
      <c r="A30" s="10" t="inlineStr">
        <is>
          <t>Annual income (bps of TOTAL AUM)</t>
        </is>
      </c>
      <c r="B30" s="20" t="n">
        <v>51.71</v>
      </c>
      <c r="C30" s="12">
        <f> net income per roll x rolls/yr x weight x 10,000. This is Infosys's contribution to the sleeve's total income on sheet 11.</f>
        <v/>
      </c>
    </row>
    <row r="31">
      <c r="A31" s="10" t="n"/>
      <c r="B31" s="10" t="n"/>
      <c r="C31" s="10"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2:G15"/>
  <sheetViews>
    <sheetView workbookViewId="0">
      <selection activeCell="A1" sqref="A1"/>
    </sheetView>
  </sheetViews>
  <sheetFormatPr baseColWidth="8" defaultRowHeight="15"/>
  <cols>
    <col width="3" customWidth="1" min="1" max="1"/>
    <col width="13" customWidth="1" min="2" max="2"/>
    <col width="11" customWidth="1" min="3" max="3"/>
    <col width="10" customWidth="1" min="4" max="4"/>
    <col width="12" customWidth="1" min="5" max="5"/>
    <col width="12" customWidth="1" min="6" max="6"/>
    <col width="20" customWidth="1" min="7" max="7"/>
  </cols>
  <sheetData>
    <row r="2">
      <c r="B2" s="1" t="inlineStr">
        <is>
          <t>Covered Call Sleeve — All 6 Names</t>
        </is>
      </c>
    </row>
    <row r="3">
      <c r="B3" s="2" t="inlineStr">
        <is>
          <t>Same calculation as sheet 4, applied to every income-sleeve name.</t>
        </is>
      </c>
    </row>
    <row r="5" ht="28" customHeight="1">
      <c r="B5" s="3" t="inlineStr">
        <is>
          <t>Why these 6 names</t>
        </is>
      </c>
      <c r="C5" s="24" t="inlineStr">
        <is>
          <t>Fairly-valued, lowest-conviction core large-caps -- names the PM has no strong directional view on, so giving up some upside is an easy trade, not a painful one.</t>
        </is>
      </c>
    </row>
    <row r="6" ht="28" customHeight="1">
      <c r="B6" s="3" t="inlineStr">
        <is>
          <t>Annual Income column</t>
        </is>
      </c>
      <c r="C6" s="24" t="inlineStr">
        <is>
          <t>Directly comparable to the collar sleeve's Annual Cost column (both in bps of total AUM) -- their difference is the program's net cost/(credit), on sheet 11.</t>
        </is>
      </c>
    </row>
    <row r="8">
      <c r="A8" s="9" t="inlineStr">
        <is>
          <t>Ticker</t>
        </is>
      </c>
      <c r="B8" s="9" t="inlineStr">
        <is>
          <t>Weight %</t>
        </is>
      </c>
      <c r="C8" s="9" t="inlineStr">
        <is>
          <t>Spot</t>
        </is>
      </c>
      <c r="D8" s="9" t="inlineStr">
        <is>
          <t>IV</t>
        </is>
      </c>
      <c r="E8" s="9" t="inlineStr">
        <is>
          <t>Call Strike</t>
        </is>
      </c>
      <c r="F8" s="9" t="inlineStr">
        <is>
          <t>Premium %</t>
        </is>
      </c>
      <c r="G8" s="9" t="inlineStr">
        <is>
          <t>Annual Income (bps AUM)</t>
        </is>
      </c>
    </row>
    <row r="9">
      <c r="A9" s="10" t="inlineStr">
        <is>
          <t>HDFCBANK</t>
        </is>
      </c>
      <c r="B9" s="15" t="n">
        <v>0.06</v>
      </c>
      <c r="C9" s="11" t="n">
        <v>819.9</v>
      </c>
      <c r="D9" s="15" t="n">
        <v>0.245</v>
      </c>
      <c r="E9" s="10" t="n">
        <v>942.9</v>
      </c>
      <c r="F9" s="30" t="n">
        <v>0.02836</v>
      </c>
      <c r="G9" s="25" t="n">
        <v>34.04</v>
      </c>
    </row>
    <row r="10">
      <c r="A10" s="10" t="inlineStr">
        <is>
          <t>ICICIBANK</t>
        </is>
      </c>
      <c r="B10" s="15" t="n">
        <v>0.055</v>
      </c>
      <c r="C10" s="11" t="n">
        <v>1449.1</v>
      </c>
      <c r="D10" s="15" t="n">
        <v>0.2549</v>
      </c>
      <c r="E10" s="10" t="n">
        <v>1666.5</v>
      </c>
      <c r="F10" s="30" t="n">
        <v>0.03075</v>
      </c>
      <c r="G10" s="25" t="n">
        <v>33.83</v>
      </c>
    </row>
    <row r="11">
      <c r="A11" s="10" t="inlineStr">
        <is>
          <t>INFY</t>
        </is>
      </c>
      <c r="B11" s="15" t="n">
        <v>0.05</v>
      </c>
      <c r="C11" s="11" t="n">
        <v>1090</v>
      </c>
      <c r="D11" s="15" t="n">
        <v>0.3372</v>
      </c>
      <c r="E11" s="10" t="n">
        <v>1253.5</v>
      </c>
      <c r="F11" s="30" t="n">
        <v>0.05171000000000001</v>
      </c>
      <c r="G11" s="25" t="n">
        <v>51.71</v>
      </c>
    </row>
    <row r="12">
      <c r="A12" s="10" t="inlineStr">
        <is>
          <t>LT</t>
        </is>
      </c>
      <c r="B12" s="15" t="n">
        <v>0.045</v>
      </c>
      <c r="C12" s="11" t="n">
        <v>3843.6</v>
      </c>
      <c r="D12" s="15" t="n">
        <v>0.2433</v>
      </c>
      <c r="E12" s="10" t="n">
        <v>4420.1</v>
      </c>
      <c r="F12" s="30" t="n">
        <v>0.02796</v>
      </c>
      <c r="G12" s="25" t="n">
        <v>25.17</v>
      </c>
    </row>
    <row r="13">
      <c r="A13" s="10" t="inlineStr">
        <is>
          <t>HINDUNILVR</t>
        </is>
      </c>
      <c r="B13" s="15" t="n">
        <v>0.04</v>
      </c>
      <c r="C13" s="11" t="n">
        <v>2150.2</v>
      </c>
      <c r="D13" s="15" t="n">
        <v>0.2207</v>
      </c>
      <c r="E13" s="10" t="n">
        <v>2472.7</v>
      </c>
      <c r="F13" s="30" t="n">
        <v>0.02268</v>
      </c>
      <c r="G13" s="25" t="n">
        <v>18.14</v>
      </c>
    </row>
    <row r="14">
      <c r="A14" s="10" t="inlineStr">
        <is>
          <t>TITAN</t>
        </is>
      </c>
      <c r="B14" s="15" t="n">
        <v>0.04</v>
      </c>
      <c r="C14" s="11" t="n">
        <v>4636.3</v>
      </c>
      <c r="D14" s="15" t="n">
        <v>0.1998</v>
      </c>
      <c r="E14" s="10" t="n">
        <v>5331.7</v>
      </c>
      <c r="F14" s="30" t="n">
        <v>0.01803</v>
      </c>
      <c r="G14" s="25" t="n">
        <v>14.43</v>
      </c>
    </row>
    <row r="15">
      <c r="A15" s="3" t="inlineStr">
        <is>
          <t>TOTAL</t>
        </is>
      </c>
      <c r="B15" s="26">
        <f>SUM(B9:B14)</f>
        <v/>
      </c>
      <c r="G15" s="27">
        <f>SUM(G9:G14)</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2:F20"/>
  <sheetViews>
    <sheetView workbookViewId="0">
      <selection activeCell="A1" sqref="A1"/>
    </sheetView>
  </sheetViews>
  <sheetFormatPr baseColWidth="8" defaultRowHeight="15"/>
  <cols>
    <col width="3" customWidth="1" min="1" max="1"/>
    <col width="14" customWidth="1" min="2" max="2"/>
    <col width="12" customWidth="1" min="3" max="3"/>
    <col width="12" customWidth="1" min="4" max="4"/>
    <col width="12" customWidth="1" min="5" max="5"/>
    <col width="24" customWidth="1" min="6" max="6"/>
    <col width="20" customWidth="1" min="7" max="7"/>
  </cols>
  <sheetData>
    <row r="2">
      <c r="B2" s="1" t="inlineStr">
        <is>
          <t>IV-Percentile Hedge-Timing Rule — Explained</t>
        </is>
      </c>
    </row>
    <row r="4" ht="40" customHeight="1">
      <c r="B4" s="3" t="inlineStr">
        <is>
          <t>What problem this solves</t>
        </is>
      </c>
      <c r="C4" s="24" t="inlineStr">
        <is>
          <t>Knowing WHICH names to hedge (sheets 2-3) doesn't tell you WHEN to initiate the hedge. Buying a put when volatility is already expensive means overpaying for the same protection.</t>
        </is>
      </c>
    </row>
    <row r="5" ht="40" customHeight="1">
      <c r="B5" s="3" t="inlineStr">
        <is>
          <t>Why IV percentile, not raw IV</t>
        </is>
      </c>
      <c r="C5" s="24" t="inlineStr">
        <is>
          <t>A 30% IV means very different things for a normally-20%-IV stock (expensive right now) vs. a normally-40%-IV stock (actually cheap right now). Percentile ranks CURRENT IV against that SPECIFIC stock's own recent range, so the comparison is apples-to-apples.</t>
        </is>
      </c>
    </row>
    <row r="6" ht="40" customHeight="1">
      <c r="B6" s="3" t="inlineStr">
        <is>
          <t>The rule</t>
        </is>
      </c>
      <c r="C6" s="24" t="inlineStr">
        <is>
          <t>IV Percentile &lt;= 33.3 (bottom tercile of the 90-day range) -&gt; hedge now, it's statistically cheap. 33.3-66.7 -&gt; watch. &gt;66.7 -&gt; expensive, consider deferring or using narrower/cheaper strikes.</t>
        </is>
      </c>
    </row>
    <row r="7" ht="40" customHeight="1">
      <c r="B7" s="3" t="inlineStr">
        <is>
          <t>Data source for this table</t>
        </is>
      </c>
      <c r="C7" s="24" t="inlineStr">
        <is>
          <t>QuantsApp Pro+'s own IVR/IVP-H tool reports IV Percentile directly per stock -- used as-is here, NOT re-derived, because it's the authoritative, already-computed real number.</t>
        </is>
      </c>
    </row>
    <row r="8" ht="40" customHeight="1">
      <c r="B8" s="3" t="inlineStr">
        <is>
          <t>The honest finding in this snapshot</t>
        </is>
      </c>
      <c r="C8" s="24" t="inlineStr">
        <is>
          <t>As of the capture date, 7 of the 10 sleeve names show IV Percentile above 66 -- i.e. this is NOT a statistically cheap time to newly initiate protection on most of the book. A real desk would flag this to the Investment Committee rather than hide it.</t>
        </is>
      </c>
    </row>
    <row r="10">
      <c r="A10" s="9" t="inlineStr">
        <is>
          <t>Ticker</t>
        </is>
      </c>
      <c r="B10" s="9" t="inlineStr">
        <is>
          <t>Current IV</t>
        </is>
      </c>
      <c r="C10" s="9" t="inlineStr">
        <is>
          <t>90D IV Low</t>
        </is>
      </c>
      <c r="D10" s="9" t="inlineStr">
        <is>
          <t>90D IV High</t>
        </is>
      </c>
      <c r="E10" s="9" t="inlineStr">
        <is>
          <t>IV Percentile (QuantsApp, real)</t>
        </is>
      </c>
      <c r="F10" s="9" t="inlineStr">
        <is>
          <t>Trigger</t>
        </is>
      </c>
    </row>
    <row r="11">
      <c r="A11" s="10" t="inlineStr">
        <is>
          <t>SRF</t>
        </is>
      </c>
      <c r="B11" s="15" t="n">
        <v>0.3344</v>
      </c>
      <c r="C11" s="15" t="n">
        <v>0.21</v>
      </c>
      <c r="D11" s="15" t="n">
        <v>0.42</v>
      </c>
      <c r="E11" s="15" t="n">
        <v>0.86</v>
      </c>
      <c r="F11" s="10">
        <f>IF(E11&lt;=33.3%,"HEDGE NOW",IF(E11&lt;=66.7%,"WATCH","EXPENSIVE - defer"))</f>
        <v/>
      </c>
    </row>
    <row r="12">
      <c r="A12" s="10" t="inlineStr">
        <is>
          <t>BHARATFORG</t>
        </is>
      </c>
      <c r="B12" s="15" t="n">
        <v>0.2898</v>
      </c>
      <c r="C12" s="15" t="n">
        <v>0.26</v>
      </c>
      <c r="D12" s="15" t="n">
        <v>0.41</v>
      </c>
      <c r="E12" s="15" t="n">
        <v>0.552</v>
      </c>
      <c r="F12" s="10">
        <f>IF(E12&lt;=33.3%,"HEDGE NOW",IF(E12&lt;=66.7%,"WATCH","EXPENSIVE - defer"))</f>
        <v/>
      </c>
    </row>
    <row r="13">
      <c r="A13" s="10" t="inlineStr">
        <is>
          <t>KALYANKJIL</t>
        </is>
      </c>
      <c r="B13" s="15" t="n">
        <v>0.5823</v>
      </c>
      <c r="C13" s="15" t="n">
        <v>0.37</v>
      </c>
      <c r="D13" s="15" t="n">
        <v>0.72</v>
      </c>
      <c r="E13" s="15" t="n">
        <v>0.972</v>
      </c>
      <c r="F13" s="10">
        <f>IF(E13&lt;=33.3%,"HEDGE NOW",IF(E13&lt;=66.7%,"WATCH","EXPENSIVE - defer"))</f>
        <v/>
      </c>
    </row>
    <row r="14">
      <c r="A14" s="10" t="inlineStr">
        <is>
          <t>POLYCAB</t>
        </is>
      </c>
      <c r="B14" s="15" t="n">
        <v>0.2802</v>
      </c>
      <c r="C14" s="15" t="n">
        <v>0.26</v>
      </c>
      <c r="D14" s="15" t="n">
        <v>0.39</v>
      </c>
      <c r="E14" s="15" t="n">
        <v>0.648</v>
      </c>
      <c r="F14" s="10">
        <f>IF(E14&lt;=33.3%,"HEDGE NOW",IF(E14&lt;=66.7%,"WATCH","EXPENSIVE - defer"))</f>
        <v/>
      </c>
    </row>
    <row r="15">
      <c r="A15" s="10" t="inlineStr">
        <is>
          <t>HDFCBANK</t>
        </is>
      </c>
      <c r="B15" s="15" t="n">
        <v>0.245</v>
      </c>
      <c r="C15" s="15" t="n">
        <v>0.2</v>
      </c>
      <c r="D15" s="15" t="n">
        <v>0.33</v>
      </c>
      <c r="E15" s="15" t="n">
        <v>0.8240000000000001</v>
      </c>
      <c r="F15" s="10">
        <f>IF(E15&lt;=33.3%,"HEDGE NOW",IF(E15&lt;=66.7%,"WATCH","EXPENSIVE - defer"))</f>
        <v/>
      </c>
    </row>
    <row r="16">
      <c r="A16" s="10" t="inlineStr">
        <is>
          <t>ICICIBANK</t>
        </is>
      </c>
      <c r="B16" s="15" t="n">
        <v>0.2549</v>
      </c>
      <c r="C16" s="15" t="n">
        <v>0.195</v>
      </c>
      <c r="D16" s="15" t="n">
        <v>0.3</v>
      </c>
      <c r="E16" s="15" t="n">
        <v>0.9359999999999999</v>
      </c>
      <c r="F16" s="10">
        <f>IF(E16&lt;=33.3%,"HEDGE NOW",IF(E16&lt;=66.7%,"WATCH","EXPENSIVE - defer"))</f>
        <v/>
      </c>
    </row>
    <row r="17">
      <c r="A17" s="10" t="inlineStr">
        <is>
          <t>INFY</t>
        </is>
      </c>
      <c r="B17" s="15" t="n">
        <v>0.3372</v>
      </c>
      <c r="C17" s="15" t="n">
        <v>0.3</v>
      </c>
      <c r="D17" s="15" t="n">
        <v>0.39</v>
      </c>
      <c r="E17" s="15" t="n">
        <v>0.848</v>
      </c>
      <c r="F17" s="10">
        <f>IF(E17&lt;=33.3%,"HEDGE NOW",IF(E17&lt;=66.7%,"WATCH","EXPENSIVE - defer"))</f>
        <v/>
      </c>
    </row>
    <row r="18">
      <c r="A18" s="10" t="inlineStr">
        <is>
          <t>LT</t>
        </is>
      </c>
      <c r="B18" s="15" t="n">
        <v>0.2433</v>
      </c>
      <c r="C18" s="15" t="n">
        <v>0.205</v>
      </c>
      <c r="D18" s="15" t="n">
        <v>0.318</v>
      </c>
      <c r="E18" s="15" t="n">
        <v>0.7759999999999999</v>
      </c>
      <c r="F18" s="10">
        <f>IF(E18&lt;=33.3%,"HEDGE NOW",IF(E18&lt;=66.7%,"WATCH","EXPENSIVE - defer"))</f>
        <v/>
      </c>
    </row>
    <row r="19">
      <c r="A19" s="10" t="inlineStr">
        <is>
          <t>HINDUNILVR</t>
        </is>
      </c>
      <c r="B19" s="15" t="n">
        <v>0.2207</v>
      </c>
      <c r="C19" s="15" t="n">
        <v>0.209</v>
      </c>
      <c r="D19" s="15" t="n">
        <v>0.259</v>
      </c>
      <c r="E19" s="15" t="n">
        <v>0.76</v>
      </c>
      <c r="F19" s="10">
        <f>IF(E19&lt;=33.3%,"HEDGE NOW",IF(E19&lt;=66.7%,"WATCH","EXPENSIVE - defer"))</f>
        <v/>
      </c>
    </row>
    <row r="20">
      <c r="A20" s="10" t="inlineStr">
        <is>
          <t>TITAN</t>
        </is>
      </c>
      <c r="B20" s="15" t="n">
        <v>0.1998</v>
      </c>
      <c r="C20" s="15" t="n">
        <v>0.2</v>
      </c>
      <c r="D20" s="15" t="n">
        <v>0.316</v>
      </c>
      <c r="E20" s="15" t="n">
        <v>0.512</v>
      </c>
      <c r="F20" s="10">
        <f>IF(E20&lt;=33.3%,"HEDGE NOW",IF(E20&lt;=66.7%,"WATCH","EXPENSIVE - defer"))</f>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F18"/>
  <sheetViews>
    <sheetView workbookViewId="0">
      <selection activeCell="A1" sqref="A1"/>
    </sheetView>
  </sheetViews>
  <sheetFormatPr baseColWidth="8" defaultRowHeight="15"/>
  <cols>
    <col width="3" customWidth="1" min="1" max="1"/>
    <col width="34" customWidth="1" min="2" max="2"/>
    <col width="18" customWidth="1" min="3" max="3"/>
    <col width="18" customWidth="1" min="4" max="4"/>
    <col width="16" customWidth="1" min="5" max="5"/>
    <col width="22" customWidth="1" min="6" max="6"/>
    <col width="20" customWidth="1" min="7" max="7"/>
  </cols>
  <sheetData>
    <row r="2">
      <c r="B2" s="1" t="inlineStr">
        <is>
          <t>Stress Backtest — Methodology Explained</t>
        </is>
      </c>
    </row>
    <row r="4" ht="46" customHeight="1">
      <c r="B4" s="3" t="inlineStr">
        <is>
          <t>Why stress-test at all</t>
        </is>
      </c>
      <c r="C4" s="24" t="inlineStr">
        <is>
          <t>The cost/income numbers on sheets 2-5 tell you the everyday running cost. They say nothing about whether the hedge actually helps in a crash -- that's a separate question, answered here.</t>
        </is>
      </c>
    </row>
    <row r="5" ht="46" customHeight="1">
      <c r="B5" s="3" t="inlineStr">
        <is>
          <t>How the portfolio move is built</t>
        </is>
      </c>
      <c r="C5" s="24" t="inlineStr">
        <is>
          <t>Portfolio move = (concentrated-sleeve weight x concentrated-sleeve move) + (income-sleeve weight x income-sleeve move) + (residual weight x residual move). Each sleeve moves at Nifty-move x equity beta (1.15), i.e. NOT a flat 1:1 assumption.</t>
        </is>
      </c>
    </row>
    <row r="6" ht="46" customHeight="1">
      <c r="B6" s="3" t="inlineStr">
        <is>
          <t>Hedged concentrated-sleeve move</t>
        </is>
      </c>
      <c r="C6" s="24" t="inlineStr">
        <is>
          <t>Floored at -12% (the collar's protection floor) and capped at the AUM-weighted actual call-strike distance solved in sheet 3 -- not a hardcoded number, it comes directly from the real collar strikes.</t>
        </is>
      </c>
    </row>
    <row r="7" ht="46" customHeight="1">
      <c r="B7" s="3" t="inlineStr">
        <is>
          <t>Hedged income-sleeve move</t>
        </is>
      </c>
      <c r="C7" s="24" t="inlineStr">
        <is>
          <t>Capped at the AUM-weighted call-strike distance from sheet 5 on the upside, plus the actual covered-call income earned (sheet 5 total) added back as a cushion.</t>
        </is>
      </c>
    </row>
    <row r="8" ht="46" customHeight="1">
      <c r="B8" s="3" t="inlineStr">
        <is>
          <t>Residual sleeve (~33% of AUM)</t>
        </is>
      </c>
      <c r="C8" s="24" t="inlineStr">
        <is>
          <t>Left UNHEDGED in both scenarios -- these are the remaining book positions with lower concentration/less event risk, not part of this program's scope.</t>
        </is>
      </c>
    </row>
    <row r="9" ht="46" customHeight="1">
      <c r="B9" s="3" t="inlineStr">
        <is>
          <t>Protection efficiency metric</t>
        </is>
      </c>
      <c r="C9" s="24">
        <f> drawdown reduction (bps) / magnitude of the unhedged move (%). This is the number that separates "the collar worked" from "the market just didn't fall far enough to test it" -- read the report for why efficiency, not raw bps saved, is the honest metric.</f>
        <v/>
      </c>
    </row>
    <row r="10" ht="46" customHeight="1">
      <c r="B10" s="3" t="inlineStr">
        <is>
          <t>Gap-risk adjustment (fast-crash windows)</t>
        </is>
      </c>
      <c r="C10" s="24" t="inlineStr">
        <is>
          <t>For historical windows tagged 'fast' gap speed (like COVID) where the shock exceeds 1.5x the protection floor, roughly half the excess move is modeled as leaking through the hedge -- a crisis-speed single-week gap can move through a strike faster than the desk can re-strike intraday.</t>
        </is>
      </c>
    </row>
    <row r="12">
      <c r="A12" s="9" t="inlineStr">
        <is>
          <t>Scenario</t>
        </is>
      </c>
      <c r="B12" s="9" t="inlineStr">
        <is>
          <t>Type</t>
        </is>
      </c>
      <c r="C12" s="9" t="inlineStr">
        <is>
          <t>Unhedged Return %</t>
        </is>
      </c>
      <c r="D12" s="9" t="inlineStr">
        <is>
          <t>Hedged Return %</t>
        </is>
      </c>
      <c r="E12" s="9" t="inlineStr">
        <is>
          <t>Drawdown Reduction (bps)</t>
        </is>
      </c>
      <c r="F12" s="9" t="inlineStr">
        <is>
          <t>Protection Efficiency %</t>
        </is>
      </c>
    </row>
    <row r="13">
      <c r="A13" s="10" t="inlineStr">
        <is>
          <t>-10% instantaneous market move</t>
        </is>
      </c>
      <c r="B13" s="10" t="inlineStr">
        <is>
          <t>hypothetical</t>
        </is>
      </c>
      <c r="C13" s="30" t="n">
        <v>-0.115</v>
      </c>
      <c r="D13" s="30" t="n">
        <v>-0.0973</v>
      </c>
      <c r="E13" s="25" t="n">
        <v>177</v>
      </c>
      <c r="F13" s="31" t="n">
        <v>0.154</v>
      </c>
    </row>
    <row r="14">
      <c r="A14" s="10" t="inlineStr">
        <is>
          <t>-20% instantaneous market move</t>
        </is>
      </c>
      <c r="B14" s="10" t="inlineStr">
        <is>
          <t>hypothetical</t>
        </is>
      </c>
      <c r="C14" s="30" t="n">
        <v>-0.23</v>
      </c>
      <c r="D14" s="30" t="n">
        <v>-0.1705</v>
      </c>
      <c r="E14" s="25" t="n">
        <v>595</v>
      </c>
      <c r="F14" s="31" t="n">
        <v>0.259</v>
      </c>
    </row>
    <row r="15">
      <c r="A15" s="10" t="inlineStr">
        <is>
          <t>+15% instantaneous market move</t>
        </is>
      </c>
      <c r="B15" s="10" t="inlineStr">
        <is>
          <t>hypothetical</t>
        </is>
      </c>
      <c r="C15" s="30" t="n">
        <v>0.1725</v>
      </c>
      <c r="D15" s="30" t="n">
        <v>0.1831</v>
      </c>
      <c r="E15" s="25" t="n">
        <v/>
      </c>
      <c r="F15" s="10" t="n"/>
    </row>
    <row r="16">
      <c r="A16" s="10" t="inlineStr">
        <is>
          <t>Feb-Mar 2020 COVID Crash</t>
        </is>
      </c>
      <c r="B16" s="10" t="inlineStr">
        <is>
          <t>historical_proxy</t>
        </is>
      </c>
      <c r="C16" s="30" t="n">
        <v>-0.4370000000000001</v>
      </c>
      <c r="D16" s="30" t="n">
        <v>-0.3482</v>
      </c>
      <c r="E16" s="25" t="n">
        <v>888</v>
      </c>
      <c r="F16" s="31" t="n">
        <v>0.203</v>
      </c>
    </row>
    <row r="17">
      <c r="A17" s="10" t="inlineStr">
        <is>
          <t>2022 Rate-Hike Correction</t>
        </is>
      </c>
      <c r="B17" s="10" t="inlineStr">
        <is>
          <t>historical_proxy</t>
        </is>
      </c>
      <c r="C17" s="30" t="n">
        <v>-0.184</v>
      </c>
      <c r="D17" s="30" t="n">
        <v>-0.1419</v>
      </c>
      <c r="E17" s="25" t="n">
        <v>421</v>
      </c>
      <c r="F17" s="31" t="n">
        <v>0.229</v>
      </c>
    </row>
    <row r="18">
      <c r="A18" s="10" t="inlineStr">
        <is>
          <t>2024 Pre-Election Volatility Spike</t>
        </is>
      </c>
      <c r="B18" s="10" t="inlineStr">
        <is>
          <t>historical_proxy</t>
        </is>
      </c>
      <c r="C18" s="30" t="n">
        <v>-0.1035</v>
      </c>
      <c r="D18" s="30" t="n">
        <v>-0.0858</v>
      </c>
      <c r="E18" s="25" t="n">
        <v>177</v>
      </c>
      <c r="F18" s="31" t="n">
        <v>0.171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2:C14"/>
  <sheetViews>
    <sheetView workbookViewId="0">
      <selection activeCell="A1" sqref="A1"/>
    </sheetView>
  </sheetViews>
  <sheetFormatPr baseColWidth="8" defaultRowHeight="15"/>
  <cols>
    <col width="3" customWidth="1" min="1" max="1"/>
    <col width="34" customWidth="1" min="2" max="2"/>
    <col width="30" customWidth="1" min="3" max="3"/>
    <col width="60" customWidth="1" min="4" max="4"/>
  </cols>
  <sheetData>
    <row r="2">
      <c r="B2" s="1" t="inlineStr">
        <is>
          <t>Swap-Based Duration Overlay — Explained</t>
        </is>
      </c>
    </row>
    <row r="5">
      <c r="A5" s="9" t="inlineStr">
        <is>
          <t>Step</t>
        </is>
      </c>
      <c r="B5" s="9" t="inlineStr">
        <is>
          <t>Value / Formula</t>
        </is>
      </c>
      <c r="C5" s="9" t="inlineStr">
        <is>
          <t>Reason</t>
        </is>
      </c>
    </row>
    <row r="6" ht="42" customHeight="1">
      <c r="A6" s="10" t="inlineStr">
        <is>
          <t>Debt sleeve</t>
        </is>
      </c>
      <c r="B6" s="32" t="inlineStr">
        <is>
          <t>Rs 7.0 Cr, mod. duration 2.1 yrs</t>
        </is>
      </c>
      <c r="C6" s="12" t="inlineStr">
        <is>
          <t>This bond book is held for LIQUIDITY, not return -- the PM doesn't want to disturb it by physically trading bonds every time a rate view changes.</t>
        </is>
      </c>
    </row>
    <row r="7" ht="42" customHeight="1">
      <c r="A7" s="10" t="inlineStr">
        <is>
          <t>Target duration shift</t>
        </is>
      </c>
      <c r="B7" s="32" t="inlineStr">
        <is>
          <t>0.75 yrs</t>
        </is>
      </c>
      <c r="C7" s="12" t="inlineStr">
        <is>
          <t>The desk's view on how much to shorten (or lengthen) duration given a rate outlook -- an input from the rates desk, not derived here.</t>
        </is>
      </c>
    </row>
    <row r="8" ht="28" customHeight="1">
      <c r="A8" s="10" t="inlineStr">
        <is>
          <t>Why a swap, not physical bond trading</t>
        </is>
      </c>
      <c r="B8" s="10" t="inlineStr">
        <is>
          <t>(narrative)</t>
        </is>
      </c>
      <c r="C8" s="12" t="inlineStr">
        <is>
          <t>@</t>
        </is>
      </c>
    </row>
    <row r="9" ht="56" customHeight="1">
      <c r="A9" s="10" t="inlineStr">
        <is>
          <t>Swap notional required</t>
        </is>
      </c>
      <c r="B9" s="20">
        <f>Debt sleeve x (target shift / current duration) = 2.5 Cr</f>
        <v/>
      </c>
      <c r="C9" s="12" t="inlineStr">
        <is>
          <t>The notional is scaled so that the swap's own duration sensitivity, applied to THIS notional, reproduces the SAME dollar duration change the target shift calls for on the full debt sleeve.</t>
        </is>
      </c>
    </row>
    <row r="10" ht="42" customHeight="1">
      <c r="A10" s="10" t="inlineStr">
        <is>
          <t>Cost avoidance vs. physical trade</t>
        </is>
      </c>
      <c r="B10" s="14" t="inlineStr">
        <is>
          <t>Rs 4.2 Lakh</t>
        </is>
      </c>
      <c r="C10" s="12" t="inlineStr">
        <is>
          <t>Estimated transaction cost (bid-ask + brokerage) that would have been paid trading the physical bond book instead -- illustrative, bond-desk estimate.</t>
        </is>
      </c>
    </row>
    <row r="11" ht="42" customHeight="1">
      <c r="A11" s="10" t="inlineStr">
        <is>
          <t>Capital gains avoided</t>
        </is>
      </c>
      <c r="B11" s="14" t="inlineStr">
        <is>
          <t>Rs 18.0 Lakh</t>
        </is>
      </c>
      <c r="C11" s="12" t="inlineStr">
        <is>
          <t>Estimated tax that would crystallize if the appreciated bonds were sold outright -- avoided entirely because the bonds are never sold.</t>
        </is>
      </c>
    </row>
    <row r="12" ht="56" customHeight="1">
      <c r="A12" s="10" t="inlineStr">
        <is>
          <t>Counterparty / clearing</t>
        </is>
      </c>
      <c r="B12" s="32" t="inlineStr">
        <is>
          <t>OTC, CCIL-cleared (distinct risk profile vs exchange-cleared equity derivatives)</t>
        </is>
      </c>
      <c r="C12" s="12" t="inlineStr">
        <is>
          <t>OTC interest-rate swaps clear through CCIL, NOT the NSE Clearing Corporation used for equity F&amp;O -- a genuinely different counterparty-risk category that the risk memo must call out separately (see sheet 10).</t>
        </is>
      </c>
    </row>
    <row r="13" ht="56" customHeight="1">
      <c r="A13" s="10" t="inlineStr">
        <is>
          <t>Direction decision (payer vs receiver)</t>
        </is>
      </c>
      <c r="B13" s="21" t="inlineStr">
        <is>
          <t>(policy note)</t>
        </is>
      </c>
      <c r="C13" s="12" t="inlineStr">
        <is>
          <t>Should be anchored to a documented, market-implied policy-rate view (e.g. OIS-implied forward path) -- NOT a discretionary desk call. This discipline is what separates a PM's process from a trader's opinion.</t>
        </is>
      </c>
    </row>
    <row r="14">
      <c r="A14" s="10" t="n"/>
      <c r="B14" s="10" t="n"/>
      <c r="C14" s="10"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C15"/>
  <sheetViews>
    <sheetView workbookViewId="0">
      <selection activeCell="A1" sqref="A1"/>
    </sheetView>
  </sheetViews>
  <sheetFormatPr baseColWidth="8" defaultRowHeight="15"/>
  <cols>
    <col width="3" customWidth="1" min="1" max="1"/>
    <col width="34" customWidth="1" min="2" max="2"/>
    <col width="34" customWidth="1" min="3" max="3"/>
    <col width="60" customWidth="1" min="4" max="4"/>
  </cols>
  <sheetData>
    <row r="2">
      <c r="B2" s="1" t="inlineStr">
        <is>
          <t>Currency Risk-Reversal Overlay — Explained</t>
        </is>
      </c>
    </row>
    <row r="5">
      <c r="A5" s="9" t="inlineStr">
        <is>
          <t>Step</t>
        </is>
      </c>
      <c r="B5" s="9" t="inlineStr">
        <is>
          <t>Value / Formula</t>
        </is>
      </c>
      <c r="C5" s="9" t="inlineStr">
        <is>
          <t>Reason</t>
        </is>
      </c>
    </row>
    <row r="6" ht="42" customHeight="1">
      <c r="A6" s="10" t="inlineStr">
        <is>
          <t>USD/LRS allocation</t>
        </is>
      </c>
      <c r="B6" s="14" t="inlineStr">
        <is>
          <t>Rs 3.0 Cr</t>
        </is>
      </c>
      <c r="C6" s="12" t="inlineStr">
        <is>
          <t>Unhedged USD exposure from 3 NRI clients' LRS-route US ETF holdings -- currently a pure INR-appreciation risk with no offsetting protection.</t>
        </is>
      </c>
    </row>
    <row r="7" ht="70" customHeight="1">
      <c r="A7" s="10" t="inlineStr">
        <is>
          <t>Why 50% hedge ratio, not 0% or 100%</t>
        </is>
      </c>
      <c r="B7" s="21" t="inlineStr">
        <is>
          <t>(policy choice)</t>
        </is>
      </c>
      <c r="C7" s="12" t="inlineStr">
        <is>
          <t>0% leaves clients fully exposed to INR moves; 100% removes ALL upside from INR depreciation too (which these clients may actually want, holding US assets partly as a currency diversifier). 50% is a graduated middle ground, replacing an ad hoc 'hedge or don't' desk habit with a documented policy.</t>
        </is>
      </c>
    </row>
    <row r="8" ht="28" customHeight="1">
      <c r="A8" s="10" t="inlineStr">
        <is>
          <t>Hedge notional</t>
        </is>
      </c>
      <c r="B8" s="20">
        <f>Total allocation x hedge ratio = 1.5 Cr</f>
        <v/>
      </c>
      <c r="C8" s="12" t="inlineStr">
        <is>
          <t>Only half the USD exposure is actually collared -- the other half keeps full two-way currency exposure.</t>
        </is>
      </c>
    </row>
    <row r="9" ht="70" customHeight="1">
      <c r="A9" s="10" t="inlineStr">
        <is>
          <t>Why a risk reversal (collar), not a forward</t>
        </is>
      </c>
      <c r="B9" s="21" t="inlineStr">
        <is>
          <t>(structure choice)</t>
        </is>
      </c>
      <c r="C9" s="12" t="inlineStr">
        <is>
          <t>A forward locks in a single rate both ways (no upside, no downside) and typically requires margin. A risk reversal (long USD put / short USD call) caps INR-appreciation downside while preserving SOME INR-depreciation upside above the put strike -- better matches a client who wants a floor, not a fixed rate.</t>
        </is>
      </c>
    </row>
    <row r="10" ht="28" customHeight="1">
      <c r="A10" s="10" t="inlineStr">
        <is>
          <t>USDINR spot</t>
        </is>
      </c>
      <c r="B10" s="14" t="n">
        <v>86.5</v>
      </c>
      <c r="C10" s="12" t="inlineStr">
        <is>
          <t>Illustrative reference spot rate.</t>
        </is>
      </c>
    </row>
    <row r="11" ht="42" customHeight="1">
      <c r="A11" s="10" t="inlineStr">
        <is>
          <t>USDINR annualised vol</t>
        </is>
      </c>
      <c r="B11" s="15" t="inlineStr">
        <is>
          <t>6.5%</t>
        </is>
      </c>
      <c r="C11" s="12" t="inlineStr">
        <is>
          <t>USDINR realised vol is structurally low (managed float) -- this is why FX option premiums are cheap relative to equity options at similar tenors.</t>
        </is>
      </c>
    </row>
    <row r="12" ht="28" customHeight="1">
      <c r="A12" s="10" t="inlineStr">
        <is>
          <t>Put strike (long USD put)</t>
        </is>
      </c>
      <c r="B12" s="20" t="n">
        <v>84.77</v>
      </c>
      <c r="C12" s="12" t="inlineStr">
        <is>
          <t>2% OTM from spot -- protects against INR strengthening past this level.</t>
        </is>
      </c>
    </row>
    <row r="13" ht="28" customHeight="1">
      <c r="A13" s="10" t="inlineStr">
        <is>
          <t>Call strike (short USD call)</t>
        </is>
      </c>
      <c r="B13" s="20" t="n">
        <v>91.69</v>
      </c>
      <c r="C13" s="12" t="inlineStr">
        <is>
          <t>6% OTM from spot -- gives up INR-depreciation upside beyond this level in exchange for funding the put.</t>
        </is>
      </c>
    </row>
    <row r="14" ht="56" customHeight="1">
      <c r="A14" s="10" t="inlineStr">
        <is>
          <t>Net premium</t>
        </is>
      </c>
      <c r="B14" s="33" t="inlineStr">
        <is>
          <t>Rs 0.514 per USD (0.59% of notional)</t>
        </is>
      </c>
      <c r="C14" s="12" t="inlineStr">
        <is>
          <t>Small net cost (not zero-cost by design here, unlike the equity collars) -- the strikes are set by policy (2%/6% OTM) rather than solved for zero-cost, so a modest premium is expected and acceptable.</t>
        </is>
      </c>
    </row>
    <row r="15">
      <c r="A15" s="10" t="n"/>
      <c r="B15" s="10" t="n"/>
      <c r="C15" s="10"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C19"/>
  <sheetViews>
    <sheetView workbookViewId="0">
      <selection activeCell="A1" sqref="A1"/>
    </sheetView>
  </sheetViews>
  <sheetFormatPr baseColWidth="8" defaultRowHeight="15"/>
  <cols>
    <col width="3" customWidth="1" min="1" max="1"/>
    <col width="55" customWidth="1" min="2" max="2"/>
    <col width="55" customWidth="1" min="3" max="3"/>
    <col width="40" customWidth="1" min="4" max="4"/>
  </cols>
  <sheetData>
    <row r="2">
      <c r="B2" s="1" t="inlineStr">
        <is>
          <t>Margin Stress &amp; Liquidity Risk — Explained</t>
        </is>
      </c>
    </row>
    <row r="5">
      <c r="A5" s="9" t="inlineStr">
        <is>
          <t>Step</t>
        </is>
      </c>
      <c r="B5" s="9" t="inlineStr">
        <is>
          <t>Value / Formula</t>
        </is>
      </c>
      <c r="C5" s="9" t="inlineStr">
        <is>
          <t>Reason</t>
        </is>
      </c>
    </row>
    <row r="6" ht="28" customHeight="1">
      <c r="A6" s="10" t="inlineStr">
        <is>
          <t>Baseline margin</t>
        </is>
      </c>
      <c r="B6" s="14" t="inlineStr">
        <is>
          <t>Rs 1.8 Cr</t>
        </is>
      </c>
      <c r="C6" s="12" t="inlineStr">
        <is>
          <t>Current SPAN + exposure margin the desk posts for the combined futures/options book under normal conditions.</t>
        </is>
      </c>
    </row>
    <row r="7" ht="42" customHeight="1">
      <c r="A7" s="10" t="inlineStr">
        <is>
          <t>Stress move assumed</t>
        </is>
      </c>
      <c r="B7" s="15" t="inlineStr">
        <is>
          <t>7.0% Nifty, single day</t>
        </is>
      </c>
      <c r="C7" s="12" t="inlineStr">
        <is>
          <t>Modeled as a 3-sigma single-day move -- a genuinely extreme but not impossible event (this is what margin buffers exist for).</t>
        </is>
      </c>
    </row>
    <row r="8" ht="56" customHeight="1">
      <c r="A8" s="10" t="inlineStr">
        <is>
          <t>Margin stress increase</t>
        </is>
      </c>
      <c r="B8" s="15" t="inlineStr">
        <is>
          <t>65.0%</t>
        </is>
      </c>
      <c r="C8" s="12" t="inlineStr">
        <is>
          <t>How much SPAN + exposure margin rises under that shock -- exchanges scale margin requirements up sharply during volatility spikes, which is exactly when a desk can least afford a margin call.</t>
        </is>
      </c>
    </row>
    <row r="9" ht="28" customHeight="1">
      <c r="A9" s="10" t="inlineStr">
        <is>
          <t>Stressed margin requirement</t>
        </is>
      </c>
      <c r="B9" s="20">
        <f>Baseline x (1+increase) = Rs 2.97 Cr</f>
        <v/>
      </c>
      <c r="C9" s="12" t="inlineStr">
        <is>
          <t>The margin the desk would actually need to post if that 3-sigma move happened tomorrow.</t>
        </is>
      </c>
    </row>
    <row r="10" ht="42" customHeight="1">
      <c r="A10" s="10" t="inlineStr">
        <is>
          <t>Minimum collateral buffer POLICY</t>
        </is>
      </c>
      <c r="B10" s="14" t="inlineStr">
        <is>
          <t>Rs 3.5 Cr</t>
        </is>
      </c>
      <c r="C10" s="12" t="inlineStr">
        <is>
          <t>A deliberately-set floor, held in T-bills + cash, ABOVE the stressed requirement -- so a margin call can be met without forced liquidation of the underlying equity book.</t>
        </is>
      </c>
    </row>
    <row r="11" ht="42" customHeight="1">
      <c r="A11" s="10" t="inlineStr">
        <is>
          <t>Buffer over stressed requirement</t>
        </is>
      </c>
      <c r="B11" s="34">
        <f>Buffer/Stressed - 1 = 17.8%</f>
        <v/>
      </c>
      <c r="C11" s="12" t="inlineStr">
        <is>
          <t>The safety margin (in %) between what's held and what's needed in a stress event -- reviewed monthly, not set-and-forget.</t>
        </is>
      </c>
    </row>
    <row r="12" ht="42" customHeight="1">
      <c r="A12" s="10" t="inlineStr">
        <is>
          <t>Redemption stress scenario</t>
        </is>
      </c>
      <c r="B12" s="14" t="inlineStr">
        <is>
          <t>20.0% of AUM = Rs 15.6 Cr</t>
        </is>
      </c>
      <c r="C12" s="12" t="inlineStr">
        <is>
          <t>Models a sudden 20% AUM redemption within 30 days -- tests whether the hedge book can be unwound fast enough to fund client withdrawals.</t>
        </is>
      </c>
    </row>
    <row r="13" ht="70" customHeight="1">
      <c r="A13" s="10" t="inlineStr">
        <is>
          <t>Liquidity finding</t>
        </is>
      </c>
      <c r="B13" s="21" t="inlineStr">
        <is>
          <t>2 of 4 names are thin relative to the others</t>
        </is>
      </c>
      <c r="C13" s="12" t="inlineStr">
        <is>
          <t>Even among the 4 F&amp;O-eligible protection-sleeve names, open interest varies a lot (e.g. Bharat Forge's combined OI is a fraction of Polycab's) -- names with thinner OI would take longer to unwind at acceptable slippage in a redemption event. This is WHY the index-proxy fallback exists.</t>
        </is>
      </c>
    </row>
    <row r="14">
      <c r="A14" s="10" t="n"/>
    </row>
    <row r="15">
      <c r="A15" s="13" t="inlineStr">
        <is>
          <t>Escalation triggers (explicit, not vague)</t>
        </is>
      </c>
    </row>
    <row r="16" ht="30" customHeight="1">
      <c r="A16" s="10" t="inlineStr">
        <is>
          <t>-</t>
        </is>
      </c>
      <c r="B16" s="35" t="inlineStr">
        <is>
          <t>Hedge cost exceeding 60bps budget by &gt;20% in any quarter -&gt; mandatory IC review</t>
        </is>
      </c>
      <c r="C16" s="36" t="n"/>
    </row>
    <row r="17" ht="30" customHeight="1">
      <c r="A17" s="10" t="inlineStr">
        <is>
          <t>-</t>
        </is>
      </c>
      <c r="B17" s="35" t="inlineStr">
        <is>
          <t>Margin utilization exceeding 70% of posted collateral -&gt; immediate de-risking of options book</t>
        </is>
      </c>
      <c r="C17" s="36" t="n"/>
    </row>
    <row r="18" ht="30" customHeight="1">
      <c r="A18" s="10" t="inlineStr">
        <is>
          <t>-</t>
        </is>
      </c>
      <c r="B18" s="35" t="inlineStr">
        <is>
          <t>Single-name option liquidity score (OI/ADV) below desk threshold -&gt; mandatory switch to index-proxy hedge</t>
        </is>
      </c>
      <c r="C18" s="36" t="n"/>
    </row>
    <row r="19" ht="30" customHeight="1">
      <c r="A19" s="10" t="inlineStr">
        <is>
          <t>-</t>
        </is>
      </c>
      <c r="B19" s="35" t="inlineStr">
        <is>
          <t>Portfolio tracking error vs Nifty 500 exceeding 8% band (incl. overlay effects) -&gt; review and rebalance</t>
        </is>
      </c>
      <c r="C19" s="36" t="n"/>
    </row>
  </sheetData>
  <mergeCells count="4">
    <mergeCell ref="B18:C18"/>
    <mergeCell ref="B19:C19"/>
    <mergeCell ref="B16:C16"/>
    <mergeCell ref="B17:C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C11"/>
  <sheetViews>
    <sheetView workbookViewId="0">
      <selection activeCell="A1" sqref="A1"/>
    </sheetView>
  </sheetViews>
  <sheetFormatPr baseColWidth="8" defaultRowHeight="15"/>
  <cols>
    <col width="3" customWidth="1" min="1" max="1"/>
    <col width="34" customWidth="1" min="2" max="2"/>
    <col width="26" customWidth="1" min="3" max="3"/>
    <col width="65" customWidth="1" min="4" max="4"/>
  </cols>
  <sheetData>
    <row r="2">
      <c r="B2" s="1" t="inlineStr">
        <is>
          <t>Program Cost/Income Summary — How It All Rolls Up</t>
        </is>
      </c>
    </row>
    <row r="5">
      <c r="A5" s="9" t="inlineStr">
        <is>
          <t>Line Item</t>
        </is>
      </c>
      <c r="B5" s="9" t="inlineStr">
        <is>
          <t>Value</t>
        </is>
      </c>
      <c r="C5" s="9" t="inlineStr">
        <is>
          <t>Reason</t>
        </is>
      </c>
    </row>
    <row r="6" ht="42" customHeight="1">
      <c r="A6" s="10" t="inlineStr">
        <is>
          <t>Gross protective put/collar cost</t>
        </is>
      </c>
      <c r="B6" s="20">
        <f>27.48 bps/yr</f>
        <v/>
      </c>
      <c r="C6" s="12">
        <f> SUM of sheet 3's 'Annual Cost' column across all 4 concentration-sleeve names. This is what protection alone costs the whole portfolio.</f>
        <v/>
      </c>
    </row>
    <row r="7" ht="42" customHeight="1">
      <c r="A7" s="10" t="inlineStr">
        <is>
          <t>Gross covered call income</t>
        </is>
      </c>
      <c r="B7" s="20">
        <f>177.32 bps/yr</f>
        <v/>
      </c>
      <c r="C7" s="12">
        <f> SUM of sheet 5's 'Annual Income' column across all 6 income-sleeve names. This is what the yield sleeve alone generates.</f>
        <v/>
      </c>
    </row>
    <row r="8" ht="70" customHeight="1">
      <c r="A8" s="10" t="inlineStr">
        <is>
          <t>Net program cost/(credit)</t>
        </is>
      </c>
      <c r="B8" s="20">
        <f> Cost - Income = -149.84 bps/yr</f>
        <v/>
      </c>
      <c r="C8" s="12" t="inlineStr">
        <is>
          <t>Negative = the program is a NET CREDIT: the income sleeve more than pays for the protection sleeve. This is the single most important number in the whole model -- it reframes the story from 'insurance we pay for' to 'a self-funding, yield-positive program'.</t>
        </is>
      </c>
    </row>
    <row r="9" ht="56" customHeight="1">
      <c r="A9" s="10" t="inlineStr">
        <is>
          <t>IC-approved cost budget</t>
        </is>
      </c>
      <c r="B9" s="32" t="inlineStr">
        <is>
          <t>40-60 bps/yr</t>
        </is>
      </c>
      <c r="C9" s="12" t="inlineStr">
        <is>
          <t>The ceiling the Investment Committee actually approved -- checked ONLY against the gross put/collar cost (not net), because that's the number the IC set the ceiling against; the covered-call income is a separate, bonus benefit.</t>
        </is>
      </c>
    </row>
    <row r="10" ht="42" customHeight="1">
      <c r="A10" s="10" t="inlineStr">
        <is>
          <t>Within budget?</t>
        </is>
      </c>
      <c r="B10" s="28">
        <f>True</f>
        <v/>
      </c>
      <c r="C10" s="12">
        <f> Gross put/collar cost (27.48) &lt;= ceiling (60). TRUE means the program can proceed without needing IC re-approval of a higher ceiling.</f>
        <v/>
      </c>
    </row>
    <row r="11" ht="56" customHeight="1">
      <c r="A11" s="10" t="inlineStr">
        <is>
          <t>Budget headroom</t>
        </is>
      </c>
      <c r="B11" s="20">
        <f> Ceiling - Gross cost = 32.52 bps/yr</f>
        <v/>
      </c>
      <c r="C11" s="12" t="inlineStr">
        <is>
          <t>Room left under the ceiling for re-striking costs, wider event-driven collars around Budget/election windows, or an India VIX overlay -- not just a pass/fail number, a planning number.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2026-07-19T10:34:10Z</dcterms:created>
  <dcterms:modified xmlns:dcterms="http://purl.org/dc/terms/" xmlns:xsi="http://www.w3.org/2001/XMLSchema-instance" xsi:type="dcterms:W3CDTF">2026-07-19T10:34:10Z</dcterms:modified>
</cp:coreProperties>
</file>